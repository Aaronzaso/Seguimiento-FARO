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ef045b8ca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5343fce3a66e4c6b"/>
    <x:sheet xmlns:r="http://schemas.openxmlformats.org/officeDocument/2006/relationships" name="Resumen" sheetId="2" r:id="R8d39859b15c04001"/>
    <x:sheet xmlns:r="http://schemas.openxmlformats.org/officeDocument/2006/relationships" name="Equipo" sheetId="3" r:id="R7f1e7dc6cd7148d9"/>
    <x:sheet xmlns:r="http://schemas.openxmlformats.org/officeDocument/2006/relationships" name="Histórico avance" sheetId="4" r:id="R5e40e4ff6524401e"/>
    <x:sheet xmlns:r="http://schemas.openxmlformats.org/officeDocument/2006/relationships" name="Evidencia horas" sheetId="5" r:id="Rcc1dc203c2c34cc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dd/mm/yyyy"/>
    <x:numFmt numFmtId="201" formatCode="0.0%"/>
    <x:numFmt numFmtId="202" formatCode="0.0"/>
  </x:numFmts>
  <x:fonts count="5">
    <x:font>
      <x:sz val="12"/>
      <x:color theme="1"/>
      <x:name val="Calibri"/>
    </x:font>
    <x:font>
      <x:b/>
      <x:sz val="12"/>
      <x:color rgb="FFFFFFFF"/>
      <x:name val="Calibri"/>
    </x:font>
    <x:font>
      <x:b/>
      <x:sz val="12"/>
      <x:color rgb="FF4F2D7F"/>
      <x:name val="Calibri"/>
    </x:font>
    <x:font>
      <x:b/>
      <x:sz val="12"/>
      <x:color rgb="FF2D2D2D"/>
      <x:name val="Calibri"/>
    </x:font>
    <x:font>
      <x:sz val="12"/>
      <x:color rgb="FF7A3E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4F2D7F"/>
      </x:patternFill>
    </x:fill>
    <x:fill>
      <x:patternFill patternType="solid">
        <x:fgColor rgb="FF4F2D7F"/>
      </x:patternFill>
    </x:fill>
    <x:fill>
      <x:patternFill patternType="solid">
        <x:fgColor rgb="FFF3EFF8"/>
      </x:patternFill>
    </x:fill>
    <x:fill>
      <x:patternFill patternType="solid">
        <x:fgColor rgb="FFF2FAE2"/>
      </x:patternFill>
    </x:fill>
    <x:fill>
      <x:patternFill patternType="solid">
        <x:fgColor rgb="FFFFF2E8"/>
      </x:patternFill>
    </x:fill>
  </x:fills>
  <x:borders count="2">
    <x:border/>
    <x:border>
      <x:top style="thin">
        <x:color rgb="FF9BD732"/>
      </x:top>
    </x:border>
  </x:borders>
  <x:cellStyleXfs count="1">
    <x:xf numFmtId="0" fontId="0" fillId="0" borderId="0"/>
  </x:cellStyleXfs>
  <x:cellXfs count="32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2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202" fontId="3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0bb951694a31" /><Relationship Type="http://schemas.openxmlformats.org/officeDocument/2006/relationships/theme" Target="/xl/theme/theme1.xml" Id="R6e76e080c32e44f2" /><Relationship Type="http://schemas.openxmlformats.org/officeDocument/2006/relationships/sheetMetadata" Target="/xl/metadata1.xml" Id="R2b015dd76e9948e5" /><Relationship Type="http://schemas.openxmlformats.org/officeDocument/2006/relationships/sharedStrings" Target="/xl/sharedStrings.xml" Id="R6e60f803dfcb4b02" /><Relationship Type="http://schemas.openxmlformats.org/officeDocument/2006/relationships/worksheet" Target="/xl/worksheets/sheet1.xml" Id="R5343fce3a66e4c6b" /><Relationship Type="http://schemas.openxmlformats.org/officeDocument/2006/relationships/worksheet" Target="/xl/worksheets/sheet2.xml" Id="R8d39859b15c04001" /><Relationship Type="http://schemas.openxmlformats.org/officeDocument/2006/relationships/worksheet" Target="/xl/worksheets/sheet3.xml" Id="R7f1e7dc6cd7148d9" /><Relationship Type="http://schemas.openxmlformats.org/officeDocument/2006/relationships/worksheet" Target="/xl/worksheets/sheet4.xml" Id="R5e40e4ff6524401e" /><Relationship Type="http://schemas.openxmlformats.org/officeDocument/2006/relationships/worksheet" Target="/xl/worksheets/sheet5.xml" Id="Rcc1dc203c2c34cc4" /></Relationships>
</file>

<file path=xl/tables/table1.xml><?xml version="1.0" encoding="utf-8"?>
<x:table xmlns:x="http://schemas.openxmlformats.org/spreadsheetml/2006/main" id="1" name="HistoricoAvanceTable" displayName="HistoricoAvanceTable" ref="A1:K2" headerRowCount="1" totalsRowCount="0" totalsRowShown="0">
  <x:autoFilter ref="A1:K2"/>
  <x:tableColumns count="11">
    <x:tableColumn id="1" name="Fecha del corte"/>
    <x:tableColumn id="2" name="Avance general"/>
    <x:tableColumn id="3" name="Levantamiento"/>
    <x:tableColumn id="4" name="Diseño"/>
    <x:tableColumn id="5" name="Desarrollo"/>
    <x:tableColumn id="6" name="Pruebas"/>
    <x:tableColumn id="7" name="Impl. y transferencia"/>
    <x:tableColumn id="8" name="Migración de datos"/>
    <x:tableColumn id="9" name="Rama revisada"/>
    <x:tableColumn id="10" name="Commit"/>
    <x:tableColumn id="11" name="Notas / evidenci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ea6f4d536e74176" /></Relationships>
</file>

<file path=xl/worksheets/sheet1.xml><?xml version="1.0" encoding="utf-8"?>
<x:worksheet xmlns:x="http://schemas.openxmlformats.org/spreadsheetml/2006/main">
  <x:cols>
    <x:col min="1" max="1" width="4.83203125" customWidth="1"/>
    <x:col min="2" max="2" width="22.83203125" customWidth="1"/>
    <x:col min="3" max="3" width="42.83203125" customWidth="1"/>
    <x:col min="4" max="4" width="11.83203125" customWidth="1"/>
    <x:col min="5" max="5" width="10.83203125" customWidth="1"/>
    <x:col min="6" max="6" width="10.83203125" customWidth="1"/>
    <x:col min="7" max="7" width="35.83203125" customWidth="1"/>
    <x:col min="8" max="8" width="14.83203125" customWidth="1"/>
    <x:col min="9" max="9" width="14.83203125" customWidth="1"/>
    <x:col min="10" max="10" width="14.83203125" customWidth="1"/>
    <x:col min="11" max="11" width="14.83203125" customWidth="1"/>
    <x:col min="12" max="12" width="14.83203125" customWidth="1"/>
    <x:col min="13" max="13" width="14.83203125" customWidth="1"/>
    <x:col min="14" max="14" width="14.83203125" customWidth="1"/>
    <x:col min="15" max="15" width="16.83203125" customWidth="1"/>
    <x:col min="16" max="16" width="40.83203125" customWidth="1"/>
  </x:cols>
  <x:sheetData>
    <x:row r="1">
      <x:c r="A1" t="str">
        <x:v>ID</x:v>
      </x:c>
      <x:c r="B1" t="str">
        <x:v>Fase</x:v>
      </x:c>
      <x:c r="C1" t="str">
        <x:v>Tarea</x:v>
      </x:c>
      <x:c r="D1" t="str">
        <x:v>Horas Plan</x:v>
      </x:c>
      <x:c r="E1" t="str">
        <x:v>Avance %</x:v>
      </x:c>
      <x:c r="F1" t="str">
        <x:v>Estado</x:v>
      </x:c>
      <x:c r="G1" t="str">
        <x:v>Responsables</x:v>
      </x:c>
      <x:c r="H1" t="str">
        <x:v>Horas Luis Montero</x:v>
      </x:c>
      <x:c r="I1" t="str">
        <x:v>Horas Aarón Mayorga</x:v>
      </x:c>
      <x:c r="J1" t="str">
        <x:v>Horas Luis Martínez</x:v>
      </x:c>
      <x:c r="K1" t="str">
        <x:v>Horas Daniel Pulido</x:v>
      </x:c>
      <x:c r="L1" t="str">
        <x:v>Horas Karol</x:v>
      </x:c>
      <x:c r="M1" t="str">
        <x:v>Horas Jorge Jiménez</x:v>
      </x:c>
      <x:c r="N1" t="str">
        <x:v>Horas Kenneth</x:v>
      </x:c>
      <x:c r="O1" t="str">
        <x:v>Total Horas Reales</x:v>
      </x:c>
      <x:c r="P1" t="str">
        <x:v>Notas</x:v>
      </x:c>
    </x:row>
    <x:row r="2">
      <x:c r="A2" t="n">
        <x:v>1</x:v>
      </x:c>
      <x:c r="B2" t="str">
        <x:v>Levantamiento</x:v>
      </x:c>
      <x:c r="C2" t="str">
        <x:v>Reunión de levantamiento funcional</x:v>
      </x:c>
      <x:c r="D2" t="n">
        <x:v>12</x:v>
      </x:c>
      <x:c r="E2" t="n">
        <x:v>100</x:v>
      </x:c>
      <x:c r="F2" t="str">
        <x:v>Listo</x:v>
      </x:c>
      <x:c r="G2" t="str">
        <x:v>Aarón Mayorga, Luis Martínez</x:v>
      </x:c>
      <x:c r="H2" s="13" t="n">
        <x:v>0</x:v>
      </x:c>
      <x:c r="I2" s="13" t="n">
        <x:v>12</x:v>
      </x:c>
      <x:c r="J2" s="13" t="n">
        <x:v>12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24</x:v>
      </x:c>
      <x:c r="P2" s="14" t="str">
        <x:v>Completada sin novedades</x:v>
      </x:c>
    </x:row>
    <x:row r="3">
      <x:c r="A3" t="n">
        <x:v>2</x:v>
      </x:c>
      <x:c r="B3" t="str">
        <x:v>Levantamiento</x:v>
      </x:c>
      <x:c r="C3" t="str">
        <x:v>Elaboración de doc. de requerimientos</x:v>
      </x:c>
      <x:c r="D3" t="n">
        <x:v>18</x:v>
      </x:c>
      <x:c r="E3" t="n">
        <x:v>100</x:v>
      </x:c>
      <x:c r="F3" t="str">
        <x:v>Listo</x:v>
      </x:c>
      <x:c r="G3" t="str">
        <x:v>Luis Montero, Aarón Mayorga, Karol</x:v>
      </x:c>
      <x:c r="H3" s="13" t="n">
        <x:v>0</x:v>
      </x:c>
      <x:c r="I3" s="13" t="n">
        <x:v>30</x:v>
      </x:c>
      <x:c r="J3" s="13" t="n">
        <x:v>0</x:v>
      </x:c>
      <x:c r="K3" s="13" t="n">
        <x:v>0</x:v>
      </x:c>
      <x:c r="L3" s="13" t="n">
        <x:v>5</x:v>
      </x:c>
      <x:c r="M3" s="13" t="n">
        <x:v>0</x:v>
      </x:c>
      <x:c r="N3" s="13" t="n">
        <x:v>0</x:v>
      </x:c>
      <x:c r="O3" s="13" t="n">
        <x:v>35</x:v>
      </x:c>
      <x:c r="P3" s="14" t="str">
        <x:v>AM realizó requerimientos / LMM revisión</x:v>
      </x:c>
    </x:row>
    <x:row r="4">
      <x:c r="A4" t="n">
        <x:v>3</x:v>
      </x:c>
      <x:c r="B4" t="str">
        <x:v>Levantamiento</x:v>
      </x:c>
      <x:c r="C4" t="str">
        <x:v>Sesión de evacuación de dudas</x:v>
      </x:c>
      <x:c r="D4" t="n">
        <x:v>6</x:v>
      </x:c>
      <x:c r="E4" t="n">
        <x:v>100</x:v>
      </x:c>
      <x:c r="F4" t="str">
        <x:v>Listo</x:v>
      </x:c>
      <x:c r="G4" t="str">
        <x:v>Karol, Jorge Jiménez, Luis Montero</x:v>
      </x:c>
      <x:c r="H4" s="13" t="n">
        <x:v>4</x:v>
      </x:c>
      <x:c r="I4" s="13" t="n">
        <x:v>4</x:v>
      </x:c>
      <x:c r="J4" s="13" t="n">
        <x:v>4</x:v>
      </x:c>
      <x:c r="K4" s="13" t="n">
        <x:v>0</x:v>
      </x:c>
      <x:c r="L4" s="13" t="n">
        <x:v>4</x:v>
      </x:c>
      <x:c r="M4" s="13" t="n">
        <x:v>4</x:v>
      </x:c>
      <x:c r="N4" s="13" t="n">
        <x:v>0</x:v>
      </x:c>
      <x:c r="O4" s="13" t="n">
        <x:v>20</x:v>
      </x:c>
      <x:c r="P4" s="14" t="str">
        <x:v>Dudas PRE-REGISTRO / Responsabilidad</x:v>
      </x:c>
    </x:row>
    <x:row r="5">
      <x:c r="A5" t="n">
        <x:v>4</x:v>
      </x:c>
      <x:c r="B5" t="str">
        <x:v>Diseño</x:v>
      </x:c>
      <x:c r="C5" t="str">
        <x:v>Doc. Diseño de Arquitectura</x:v>
      </x:c>
      <x:c r="D5" t="n">
        <x:v>6</x:v>
      </x:c>
      <x:c r="E5" t="n">
        <x:v>100</x:v>
      </x:c>
      <x:c r="F5" t="str">
        <x:v>Listo</x:v>
      </x:c>
      <x:c r="G5" t="str">
        <x:v>Aarón Mayorga</x:v>
      </x:c>
      <x:c r="H5" s="13" t="n">
        <x:v>0</x:v>
      </x:c>
      <x:c r="I5" s="13" t="n">
        <x:v>6</x:v>
      </x:c>
      <x:c r="J5" s="13" t="n">
        <x:v>0</x:v>
      </x:c>
      <x:c r="K5" s="13" t="n">
        <x:v>0</x:v>
      </x:c>
      <x:c r="L5" s="13" t="n">
        <x:v>0</x:v>
      </x:c>
      <x:c r="M5" s="13" t="n">
        <x:v>0</x:v>
      </x:c>
      <x:c r="N5" s="13" t="n">
        <x:v>0</x:v>
      </x:c>
      <x:c r="O5" s="13" t="n">
        <x:v>6</x:v>
      </x:c>
      <x:c r="P5" s="14" t="str"/>
    </x:row>
    <x:row r="6">
      <x:c r="A6" t="n">
        <x:v>5</x:v>
      </x:c>
      <x:c r="B6" t="str">
        <x:v>Diseño</x:v>
      </x:c>
      <x:c r="C6" t="str">
        <x:v>Documentar Arquitectura lógica</x:v>
      </x:c>
      <x:c r="D6" t="n">
        <x:v>12</x:v>
      </x:c>
      <x:c r="E6" t="n">
        <x:v>85</x:v>
      </x:c>
      <x:c r="F6" t="str">
        <x:v>En curso</x:v>
      </x:c>
      <x:c r="G6" t="str">
        <x:v>Daniel Pulido</x:v>
      </x:c>
      <x:c r="H6" s="13" t="n">
        <x:v>0</x:v>
      </x:c>
      <x:c r="I6" s="13" t="n">
        <x:v>0</x:v>
      </x:c>
      <x:c r="J6" s="13" t="n">
        <x:v>1</x:v>
      </x:c>
      <x:c r="K6" s="13" t="n">
        <x:v>9</x:v>
      </x:c>
      <x:c r="L6" s="13" t="n">
        <x:v>0</x:v>
      </x:c>
      <x:c r="M6" s="13" t="n">
        <x:v>0</x:v>
      </x:c>
      <x:c r="N6" s="13" t="n">
        <x:v>0</x:v>
      </x:c>
      <x:c r="O6" s="13" t="n">
        <x:v>10</x:v>
      </x:c>
      <x:c r="P6" s="14" t="str">
        <x:v>Pendiente revisión final Corte 14/07–04/08 (GitHub): Aarón 0.0 h; Luis Martínez 1.0 h.</x:v>
      </x:c>
    </x:row>
    <x:row r="7">
      <x:c r="A7" t="n">
        <x:v>6</x:v>
      </x:c>
      <x:c r="B7" t="str">
        <x:v>Diseño</x:v>
      </x:c>
      <x:c r="C7" t="str">
        <x:v>Documentar Arquitectura física</x:v>
      </x:c>
      <x:c r="D7" t="n">
        <x:v>0</x:v>
      </x:c>
      <x:c r="E7" t="n">
        <x:v>100</x:v>
      </x:c>
      <x:c r="F7" t="str">
        <x:v>Listo</x:v>
      </x:c>
      <x:c r="G7" t="str">
        <x:v>Daniel Pulido</x:v>
      </x:c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4" t="str">
        <x:v>🟢 Reutilizable</x:v>
      </x:c>
    </x:row>
    <x:row r="8">
      <x:c r="A8" t="n">
        <x:v>7</x:v>
      </x:c>
      <x:c r="B8" t="str">
        <x:v>Diseño</x:v>
      </x:c>
      <x:c r="C8" t="str">
        <x:v>Documentar Pipeline CI/CD</x:v>
      </x:c>
      <x:c r="D8" t="n">
        <x:v>0</x:v>
      </x:c>
      <x:c r="E8" t="n">
        <x:v>100</x:v>
      </x:c>
      <x:c r="F8" t="str">
        <x:v>Listo</x:v>
      </x:c>
      <x:c r="G8" t="str">
        <x:v>Daniel Pulido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4" t="str">
        <x:v>🟢 Reutilizable</x:v>
      </x:c>
    </x:row>
    <x:row r="9">
      <x:c r="A9" t="n">
        <x:v>8</x:v>
      </x:c>
      <x:c r="B9" t="str">
        <x:v>Diseño</x:v>
      </x:c>
      <x:c r="C9" t="str">
        <x:v>Documentar Diseño modular</x:v>
      </x:c>
      <x:c r="D9" t="n">
        <x:v>12</x:v>
      </x:c>
      <x:c r="E9" t="n">
        <x:v>90</x:v>
      </x:c>
      <x:c r="F9" t="str">
        <x:v>En curso</x:v>
      </x:c>
      <x:c r="G9" t="str">
        <x:v>Daniel Pulido</x:v>
      </x:c>
      <x:c r="H9" s="13" t="n">
        <x:v>0</x:v>
      </x:c>
      <x:c r="I9" s="13" t="n">
        <x:v>3</x:v>
      </x:c>
      <x:c r="J9" s="13" t="n">
        <x:v>1</x:v>
      </x:c>
      <x:c r="K9" s="13" t="n">
        <x:v>6</x:v>
      </x:c>
      <x:c r="L9" s="13" t="n">
        <x:v>0</x:v>
      </x:c>
      <x:c r="M9" s="13" t="n">
        <x:v>0</x:v>
      </x:c>
      <x:c r="N9" s="13" t="n">
        <x:v>0</x:v>
      </x:c>
      <x:c r="O9" s="13" t="n">
        <x:v>10</x:v>
      </x:c>
      <x:c r="P9" s="14" t="str">
        <x:v>En progreso Corte 14/07–04/08 (GitHub): Aarón 3.0 h; Luis Martínez 1.0 h.</x:v>
      </x:c>
    </x:row>
    <x:row r="10">
      <x:c r="A10" t="n">
        <x:v>9</x:v>
      </x:c>
      <x:c r="B10" t="str">
        <x:v>Diseño</x:v>
      </x:c>
      <x:c r="C10" t="str">
        <x:v>Documentar Seguridad en el diseño</x:v>
      </x:c>
      <x:c r="D10" t="n">
        <x:v>6</x:v>
      </x:c>
      <x:c r="E10" t="n">
        <x:v>80</x:v>
      </x:c>
      <x:c r="F10" t="str">
        <x:v>En curso</x:v>
      </x:c>
      <x:c r="G10" t="str">
        <x:v>Daniel Pulido</x:v>
      </x:c>
      <x:c r="H10" s="13" t="n">
        <x:v>0</x:v>
      </x:c>
      <x:c r="I10" s="13" t="n">
        <x:v>3</x:v>
      </x:c>
      <x:c r="J10" s="13" t="n">
        <x:v>2</x:v>
      </x:c>
      <x:c r="K10" s="13" t="n">
        <x:v>2</x:v>
      </x:c>
      <x:c r="L10" s="13" t="n">
        <x:v>0</x:v>
      </x:c>
      <x:c r="M10" s="13" t="n">
        <x:v>0</x:v>
      </x:c>
      <x:c r="N10" s="13" t="n">
        <x:v>0</x:v>
      </x:c>
      <x:c r="O10" s="13" t="n">
        <x:v>7</x:v>
      </x:c>
      <x:c r="P10" s="14" t="str">
        <x:v>Iniciado Corte 14/07–04/08 (GitHub): Aarón 3.0 h; Luis Martínez 2.0 h.</x:v>
      </x:c>
    </x:row>
    <x:row r="11">
      <x:c r="A11" t="n">
        <x:v>10</x:v>
      </x:c>
      <x:c r="B11" t="str">
        <x:v>Diseño</x:v>
      </x:c>
      <x:c r="C11" t="str">
        <x:v>Modelo de datos lógico (BD)</x:v>
      </x:c>
      <x:c r="D11" t="n">
        <x:v>25</x:v>
      </x:c>
      <x:c r="E11" t="n">
        <x:v>75</x:v>
      </x:c>
      <x:c r="F11" t="str">
        <x:v>En curso</x:v>
      </x:c>
      <x:c r="G11" t="str">
        <x:v>Aarón Mayorga, Luis Martínez</x:v>
      </x:c>
      <x:c r="H11" s="13" t="n">
        <x:v>0</x:v>
      </x:c>
      <x:c r="I11" s="13" t="n">
        <x:v>20</x:v>
      </x:c>
      <x:c r="J11" s="13" t="n">
        <x:v>20</x:v>
      </x:c>
      <x:c r="K11" s="13" t="n">
        <x:v>10</x:v>
      </x:c>
      <x:c r="L11" s="13" t="n">
        <x:v>0</x:v>
      </x:c>
      <x:c r="M11" s="13" t="n">
        <x:v>0</x:v>
      </x:c>
      <x:c r="N11" s="13" t="n">
        <x:v>0</x:v>
      </x:c>
      <x:c r="O11" s="13" t="n">
        <x:v>50</x:v>
      </x:c>
      <x:c r="P11" s="14" t="str">
        <x:v>La parte del GTRS ya se abarcó queda pendiente el NO-KAA</x:v>
      </x:c>
    </x:row>
    <x:row r="12">
      <x:c r="A12" t="n">
        <x:v>11</x:v>
      </x:c>
      <x:c r="B12" t="str">
        <x:v>Diseño</x:v>
      </x:c>
      <x:c r="C12" t="str">
        <x:v>Diseño de APIs (contratos)</x:v>
      </x:c>
      <x:c r="D12" t="n">
        <x:v>20</x:v>
      </x:c>
      <x:c r="E12" t="n">
        <x:v>60</x:v>
      </x:c>
      <x:c r="F12" t="str">
        <x:v>Pendiente</x:v>
      </x:c>
      <x:c r="G12" t="str">
        <x:v>Daniel Pulido, Aarón Mayorga</x:v>
      </x:c>
      <x:c r="H12" s="13" t="n">
        <x:v>0</x:v>
      </x:c>
      <x:c r="I12" s="13" t="n">
        <x:v>2</x:v>
      </x:c>
      <x:c r="J12" s="13" t="n">
        <x:v>5</x:v>
      </x:c>
      <x:c r="K12" s="13" t="n">
        <x:v>10</x:v>
      </x:c>
      <x:c r="L12" s="13" t="n">
        <x:v>0</x:v>
      </x:c>
      <x:c r="M12" s="13" t="n">
        <x:v>0</x:v>
      </x:c>
      <x:c r="N12" s="13" t="n">
        <x:v>0</x:v>
      </x:c>
      <x:c r="O12" s="13" t="n">
        <x:v>17</x:v>
      </x:c>
      <x:c r="P12" s="14" t="str">
        <x:v>Corte 14/07–04/08 (GitHub): Aarón 2.0 h; Luis Martínez 5.0 h.</x:v>
      </x:c>
    </x:row>
    <x:row r="13">
      <x:c r="A13" t="n">
        <x:v>12</x:v>
      </x:c>
      <x:c r="B13" t="str">
        <x:v>Diseño</x:v>
      </x:c>
      <x:c r="C13" t="str">
        <x:v>Configuración de repositorio</x:v>
      </x:c>
      <x:c r="D13" t="n">
        <x:v>4</x:v>
      </x:c>
      <x:c r="E13" t="n">
        <x:v>100</x:v>
      </x:c>
      <x:c r="F13" t="str">
        <x:v>Pendiente</x:v>
      </x:c>
      <x:c r="G13" t="str">
        <x:v>Daniel Pulido</x:v>
      </x:c>
      <x:c r="H13" s="13" t="n">
        <x:v>0</x:v>
      </x:c>
      <x:c r="I13" s="13" t="n">
        <x:v>2</x:v>
      </x:c>
      <x:c r="J13" s="13" t="n">
        <x:v>1</x:v>
      </x:c>
      <x:c r="K13" s="13" t="n">
        <x:v>4</x:v>
      </x:c>
      <x:c r="L13" s="13" t="n">
        <x:v>0</x:v>
      </x:c>
      <x:c r="M13" s="13" t="n">
        <x:v>0</x:v>
      </x:c>
      <x:c r="N13" s="13" t="n">
        <x:v>0</x:v>
      </x:c>
      <x:c r="O13" s="13" t="n">
        <x:v>7</x:v>
      </x:c>
      <x:c r="P13" s="14" t="str">
        <x:v>Corte 14/07–04/08 (GitHub): Aarón 2.0 h; Luis Martínez 1.0 h.</x:v>
      </x:c>
    </x:row>
    <x:row r="14">
      <x:c r="A14" t="n">
        <x:v>13</x:v>
      </x:c>
      <x:c r="B14" t="str">
        <x:v>Diseño</x:v>
      </x:c>
      <x:c r="C14" t="str">
        <x:v>Config. ambiente de desarrollo</x:v>
      </x:c>
      <x:c r="D14" t="n">
        <x:v>1</x:v>
      </x:c>
      <x:c r="E14" t="n">
        <x:v>75</x:v>
      </x:c>
      <x:c r="F14" t="str">
        <x:v>Pendiente</x:v>
      </x:c>
      <x:c r="G14" t="str">
        <x:v>Jorge Jiménez</x:v>
      </x:c>
      <x:c r="H14" s="13" t="n">
        <x:v>0</x:v>
      </x:c>
      <x:c r="I14" s="13" t="n">
        <x:v>1</x:v>
      </x:c>
      <x:c r="J14" s="13" t="n">
        <x:v>0</x:v>
      </x:c>
      <x:c r="K14" s="13" t="n">
        <x:v>1</x:v>
      </x:c>
      <x:c r="L14" s="13" t="n">
        <x:v>0</x:v>
      </x:c>
      <x:c r="M14" s="13" t="n">
        <x:v>0</x:v>
      </x:c>
      <x:c r="N14" s="13" t="n">
        <x:v>0</x:v>
      </x:c>
      <x:c r="O14" s="13" t="n">
        <x:v>2</x:v>
      </x:c>
      <x:c r="P14" s="14" t="str">
        <x:v>Corte 14/07–04/08 (GitHub): Aarón 1.0 h; Luis Martínez 0.0 h.</x:v>
      </x:c>
    </x:row>
    <x:row r="15">
      <x:c r="A15" t="n">
        <x:v>14</x:v>
      </x:c>
      <x:c r="B15" t="str">
        <x:v>Diseño</x:v>
      </x:c>
      <x:c r="C15" t="str">
        <x:v>Config. herramientas y frameworks</x:v>
      </x:c>
      <x:c r="D15" t="n">
        <x:v>8</x:v>
      </x:c>
      <x:c r="E15" t="n">
        <x:v>100</x:v>
      </x:c>
      <x:c r="F15" t="str">
        <x:v>Pendiente</x:v>
      </x:c>
      <x:c r="G15" t="str">
        <x:v>Daniel Pulido, Luis Montero</x:v>
      </x:c>
      <x:c r="H15" s="13" t="n">
        <x:v>0</x:v>
      </x:c>
      <x:c r="I15" s="13" t="n">
        <x:v>2</x:v>
      </x:c>
      <x:c r="J15" s="13" t="n">
        <x:v>2</x:v>
      </x:c>
      <x:c r="K15" s="13" t="n">
        <x:v>8</x:v>
      </x:c>
      <x:c r="L15" s="13" t="n">
        <x:v>0</x:v>
      </x:c>
      <x:c r="M15" s="13" t="n">
        <x:v>0</x:v>
      </x:c>
      <x:c r="N15" s="13" t="n">
        <x:v>0</x:v>
      </x:c>
      <x:c r="O15" s="13" t="n">
        <x:v>12</x:v>
      </x:c>
      <x:c r="P15" s="14" t="str">
        <x:v>Corte 14/07–04/08 (GitHub): Aarón 2.0 h; Luis Martínez 2.0 h.</x:v>
      </x:c>
    </x:row>
    <x:row r="16">
      <x:c r="A16" t="n">
        <x:v>15</x:v>
      </x:c>
      <x:c r="B16" t="str">
        <x:v>Diseño</x:v>
      </x:c>
      <x:c r="C16" t="str">
        <x:v>Config. ambiente de pruebas</x:v>
      </x:c>
      <x:c r="D16" t="n">
        <x:v>10</x:v>
      </x:c>
      <x:c r="E16" t="n">
        <x:v>80</x:v>
      </x:c>
      <x:c r="F16" t="str">
        <x:v>Pendiente</x:v>
      </x:c>
      <x:c r="G16" t="str">
        <x:v>Daniel Pulido</x:v>
      </x:c>
      <x:c r="H16" s="13" t="n">
        <x:v>0</x:v>
      </x:c>
      <x:c r="I16" s="13" t="n">
        <x:v>2</x:v>
      </x:c>
      <x:c r="J16" s="13" t="n">
        <x:v>4</x:v>
      </x:c>
      <x:c r="K16" s="13" t="n">
        <x:v>0</x:v>
      </x:c>
      <x:c r="L16" s="13" t="n">
        <x:v>0</x:v>
      </x:c>
      <x:c r="M16" s="13" t="n">
        <x:v>0</x:v>
      </x:c>
      <x:c r="N16" s="13" t="n">
        <x:v>0</x:v>
      </x:c>
      <x:c r="O16" s="13" t="n">
        <x:v>6</x:v>
      </x:c>
      <x:c r="P16" s="14" t="str">
        <x:v>Corte 14/07–04/08 (GitHub): Aarón 2.0 h; Luis Martínez 4.0 h.</x:v>
      </x:c>
    </x:row>
    <x:row r="17">
      <x:c r="A17" t="n">
        <x:v>16</x:v>
      </x:c>
      <x:c r="B17" t="str">
        <x:v>Diseño</x:v>
      </x:c>
      <x:c r="C17" t="str">
        <x:v>Automatización CI/CD</x:v>
      </x:c>
      <x:c r="D17" t="n">
        <x:v>5</x:v>
      </x:c>
      <x:c r="E17" t="n">
        <x:v>55</x:v>
      </x:c>
      <x:c r="F17" t="str">
        <x:v>Pendiente</x:v>
      </x:c>
      <x:c r="G17" t="str">
        <x:v>Daniel Pulido, Jorge Jiménez</x:v>
      </x:c>
      <x:c r="H17" s="13" t="n">
        <x:v>0</x:v>
      </x:c>
      <x:c r="I17" s="13" t="n">
        <x:v>3</x:v>
      </x:c>
      <x:c r="J17" s="13" t="n">
        <x:v>3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6</x:v>
      </x:c>
      <x:c r="P17" s="14" t="str">
        <x:v>Corte 14/07–04/08 (GitHub): Aarón 3.0 h; Luis Martínez 3.0 h.</x:v>
      </x:c>
    </x:row>
    <x:row r="18">
      <x:c r="A18" t="n">
        <x:v>17</x:v>
      </x:c>
      <x:c r="B18" t="str">
        <x:v>Desarrollo</x:v>
      </x:c>
      <x:c r="C18" t="str">
        <x:v>Config. modelo de datos (Tablas, llaves)</x:v>
      </x:c>
      <x:c r="D18" t="n">
        <x:v>28</x:v>
      </x:c>
      <x:c r="E18" t="n">
        <x:v>80</x:v>
      </x:c>
      <x:c r="F18" t="str">
        <x:v>Pendiente</x:v>
      </x:c>
      <x:c r="G18" t="str">
        <x:v>Aarón Mayorga, Luis Martínez</x:v>
      </x:c>
      <x:c r="H18" s="13" t="n">
        <x:v>0</x:v>
      </x:c>
      <x:c r="I18" s="13" t="n">
        <x:v>1</x:v>
      </x:c>
      <x:c r="J18" s="13" t="n">
        <x:v>7</x:v>
      </x:c>
      <x:c r="K18" s="13" t="n">
        <x:v>10</x:v>
      </x:c>
      <x:c r="L18" s="13" t="n">
        <x:v>0</x:v>
      </x:c>
      <x:c r="M18" s="13" t="n">
        <x:v>0</x:v>
      </x:c>
      <x:c r="N18" s="13" t="n">
        <x:v>0</x:v>
      </x:c>
      <x:c r="O18" s="13" t="n">
        <x:v>18</x:v>
      </x:c>
      <x:c r="P18" s="14" t="str">
        <x:v>Corte 14/07–04/08 (GitHub): Aarón 1.0 h; Luis Martínez 7.0 h.</x:v>
      </x:c>
    </x:row>
    <x:row r="19">
      <x:c r="A19" t="n">
        <x:v>18</x:v>
      </x:c>
      <x:c r="B19" t="str">
        <x:v>Desarrollo</x:v>
      </x:c>
      <x:c r="C19" t="str">
        <x:v>Stored Procedures y Funciones</x:v>
      </x:c>
      <x:c r="D19" t="n">
        <x:v>12</x:v>
      </x:c>
      <x:c r="E19" t="n">
        <x:v>60</x:v>
      </x:c>
      <x:c r="F19" t="str">
        <x:v>Pendiente</x:v>
      </x:c>
      <x:c r="G19" t="str">
        <x:v>Daniel Pulido, Aarón Mayorga</x:v>
      </x:c>
      <x:c r="H19" s="13" t="n">
        <x:v>0</x:v>
      </x:c>
      <x:c r="I19" s="13" t="n">
        <x:v>1</x:v>
      </x:c>
      <x:c r="J19" s="13" t="n">
        <x:v>5</x:v>
      </x:c>
      <x:c r="K19" s="13" t="n">
        <x:v>2</x:v>
      </x:c>
      <x:c r="L19" s="13" t="n">
        <x:v>0</x:v>
      </x:c>
      <x:c r="M19" s="13" t="n">
        <x:v>0</x:v>
      </x:c>
      <x:c r="N19" s="13" t="n">
        <x:v>0</x:v>
      </x:c>
      <x:c r="O19" s="13" t="n">
        <x:v>8</x:v>
      </x:c>
      <x:c r="P19" s="14" t="str">
        <x:v>Corte 14/07–04/08 (GitHub): Aarón 1.0 h; Luis Martínez 5.0 h.</x:v>
      </x:c>
    </x:row>
    <x:row r="20">
      <x:c r="A20" t="n">
        <x:v>19</x:v>
      </x:c>
      <x:c r="B20" t="str">
        <x:v>Desarrollo</x:v>
      </x:c>
      <x:c r="C20" t="str">
        <x:v>Implementación de triggers</x:v>
      </x:c>
      <x:c r="D20" t="n">
        <x:v>13</x:v>
      </x:c>
      <x:c r="E20" t="n">
        <x:v>40</x:v>
      </x:c>
      <x:c r="F20" t="str">
        <x:v>Pendiente</x:v>
      </x:c>
      <x:c r="G20" t="str">
        <x:v>Daniel Pulido, Luis Montero, Jorge Jiménez</x:v>
      </x:c>
      <x:c r="H20" s="13" t="n">
        <x:v>0</x:v>
      </x:c>
      <x:c r="I20" s="13" t="n">
        <x:v>0</x:v>
      </x:c>
      <x:c r="J20" s="13" t="n">
        <x:v>4</x:v>
      </x:c>
      <x:c r="K20" s="13" t="n">
        <x:v>0</x:v>
      </x:c>
      <x:c r="L20" s="13" t="n">
        <x:v>0</x:v>
      </x:c>
      <x:c r="M20" s="13" t="n">
        <x:v>0</x:v>
      </x:c>
      <x:c r="N20" s="13" t="n">
        <x:v>0</x:v>
      </x:c>
      <x:c r="O20" s="13" t="n">
        <x:v>4</x:v>
      </x:c>
      <x:c r="P20" s="14" t="str">
        <x:v>Corte 14/07–04/08 (GitHub): Aarón 0.0 h; Luis Martínez 4.0 h.</x:v>
      </x:c>
    </x:row>
    <x:row r="21">
      <x:c r="A21" t="n">
        <x:v>20</x:v>
      </x:c>
      <x:c r="B21" t="str">
        <x:v>Desarrollo</x:v>
      </x:c>
      <x:c r="C21" t="str">
        <x:v>Implementación de RBAC</x:v>
      </x:c>
      <x:c r="D21" t="n">
        <x:v>17</x:v>
      </x:c>
      <x:c r="E21" t="n">
        <x:v>70</x:v>
      </x:c>
      <x:c r="F21" t="str">
        <x:v>En curso</x:v>
      </x:c>
      <x:c r="G21" t="str">
        <x:v>Daniel Pulido, Aarón Mayorga</x:v>
      </x:c>
      <x:c r="H21" s="13" t="n">
        <x:v>0</x:v>
      </x:c>
      <x:c r="I21" s="13" t="n">
        <x:v>10</x:v>
      </x:c>
      <x:c r="J21" s="13" t="n">
        <x:v>6</x:v>
      </x:c>
      <x:c r="K21" s="13" t="n">
        <x:v>0</x:v>
      </x:c>
      <x:c r="L21" s="13" t="n">
        <x:v>0</x:v>
      </x:c>
      <x:c r="M21" s="13" t="n">
        <x:v>0</x:v>
      </x:c>
      <x:c r="N21" s="13" t="n">
        <x:v>0</x:v>
      </x:c>
      <x:c r="O21" s="13" t="n">
        <x:v>16</x:v>
      </x:c>
      <x:c r="P21" s="14" t="str">
        <x:v>Corte 14/07–04/08 (GitHub): Aarón 3.0 h; Luis Martínez 6.0 h.</x:v>
      </x:c>
    </x:row>
    <x:row r="22">
      <x:c r="A22" t="n">
        <x:v>21</x:v>
      </x:c>
      <x:c r="B22" t="str">
        <x:v>Desarrollo</x:v>
      </x:c>
      <x:c r="C22" t="str">
        <x:v>Módulo de Administración</x:v>
      </x:c>
      <x:c r="D22" t="n">
        <x:v>70</x:v>
      </x:c>
      <x:c r="E22" t="n">
        <x:v>35</x:v>
      </x:c>
      <x:c r="F22" t="str">
        <x:v>Pendiente</x:v>
      </x:c>
      <x:c r="G22" t="str">
        <x:v>Aarón Mayorga, Luis Montero, Luis Martínez, Jorge Jiménez</x:v>
      </x:c>
      <x:c r="H22" s="13" t="n">
        <x:v>0</x:v>
      </x:c>
      <x:c r="I22" s="13" t="n">
        <x:v>8</x:v>
      </x:c>
      <x:c r="J22" s="13" t="n">
        <x:v>4</x:v>
      </x:c>
      <x:c r="K22" s="13" t="n">
        <x:v>0</x:v>
      </x:c>
      <x:c r="L22" s="13" t="n">
        <x:v>0</x:v>
      </x:c>
      <x:c r="M22" s="13" t="n">
        <x:v>0</x:v>
      </x:c>
      <x:c r="N22" s="13" t="n">
        <x:v>0</x:v>
      </x:c>
      <x:c r="O22" s="13" t="n">
        <x:v>12</x:v>
      </x:c>
      <x:c r="P22" s="14" t="str">
        <x:v>🟠 Optimizado 50% Corte 14/07–04/08 (GitHub): Aarón 8.0 h; Luis Martínez 4.0 h.</x:v>
      </x:c>
    </x:row>
    <x:row r="23">
      <x:c r="A23" t="n">
        <x:v>22</x:v>
      </x:c>
      <x:c r="B23" t="str">
        <x:v>Desarrollo</x:v>
      </x:c>
      <x:c r="C23" t="str">
        <x:v>Módulo Formulario GTRS</x:v>
      </x:c>
      <x:c r="D23" t="n">
        <x:v>124</x:v>
      </x:c>
      <x:c r="E23" t="n">
        <x:v>35</x:v>
      </x:c>
      <x:c r="F23" t="str">
        <x:v>En curso</x:v>
      </x:c>
      <x:c r="G23" t="str">
        <x:v>Luis Montero, Aarón Mayorga</x:v>
      </x:c>
      <x:c r="H23" s="13" t="n">
        <x:v>0</x:v>
      </x:c>
      <x:c r="I23" s="13" t="n">
        <x:v>78</x:v>
      </x:c>
      <x:c r="J23" s="13" t="n">
        <x:v>10</x:v>
      </x:c>
      <x:c r="K23" s="13" t="n">
        <x:v>0</x:v>
      </x:c>
      <x:c r="L23" s="13" t="n">
        <x:v>0</x:v>
      </x:c>
      <x:c r="M23" s="13" t="n">
        <x:v>0</x:v>
      </x:c>
      <x:c r="N23" s="13" t="n">
        <x:v>0</x:v>
      </x:c>
      <x:c r="O23" s="13" t="n">
        <x:v>88</x:v>
      </x:c>
      <x:c r="P23" s="14" t="str">
        <x:v>El formulario está en un 95% del frontend validado por karol, y sugirió modificaciones para hacerlo aún más compacto Corte 14/07–04/08 (GitHub): Aarón 8.0 h; Luis Martínez 10.0 h.</x:v>
      </x:c>
    </x:row>
    <x:row r="24">
      <x:c r="A24" t="n">
        <x:v>23</x:v>
      </x:c>
      <x:c r="B24" t="str">
        <x:v>Desarrollo</x:v>
      </x:c>
      <x:c r="C24" t="str">
        <x:v>Módulo Revisión de GTRS</x:v>
      </x:c>
      <x:c r="D24" t="n">
        <x:v>142</x:v>
      </x:c>
      <x:c r="E24" t="n">
        <x:v>15</x:v>
      </x:c>
      <x:c r="F24" t="str">
        <x:v>Pendiente</x:v>
      </x:c>
      <x:c r="G24" t="str">
        <x:v>Aarón Mayorga, Luis Montero, Luis Martínez</x:v>
      </x:c>
      <x:c r="H24" s="13" t="n">
        <x:v>0</x:v>
      </x:c>
      <x:c r="I24" s="13" t="n">
        <x:v>5</x:v>
      </x:c>
      <x:c r="J24" s="13" t="n">
        <x:v>3</x:v>
      </x:c>
      <x:c r="K24" s="13" t="n">
        <x:v>0</x:v>
      </x:c>
      <x:c r="L24" s="13" t="n">
        <x:v>0</x:v>
      </x:c>
      <x:c r="M24" s="13" t="n">
        <x:v>0</x:v>
      </x:c>
      <x:c r="N24" s="13" t="n">
        <x:v>0</x:v>
      </x:c>
      <x:c r="O24" s="13" t="n">
        <x:v>8</x:v>
      </x:c>
      <x:c r="P24" s="14" t="str">
        <x:v>Corte 14/07–04/08 (GitHub): Aarón 5.0 h; Luis Martínez 3.0 h.</x:v>
      </x:c>
    </x:row>
    <x:row r="25">
      <x:c r="A25" t="n">
        <x:v>24</x:v>
      </x:c>
      <x:c r="B25" t="str">
        <x:v>Desarrollo</x:v>
      </x:c>
      <x:c r="C25" t="str">
        <x:v>Módulo Portal de Captura</x:v>
      </x:c>
      <x:c r="D25" t="n">
        <x:v>142</x:v>
      </x:c>
      <x:c r="E25" t="n">
        <x:v>20</x:v>
      </x:c>
      <x:c r="F25" t="str">
        <x:v>Pendiente</x:v>
      </x:c>
      <x:c r="G25" t="str">
        <x:v>Luis Martínez, Aarón Mayorga, Luis Montero</x:v>
      </x:c>
      <x:c r="H25" s="13" t="n">
        <x:v>0</x:v>
      </x:c>
      <x:c r="I25" s="13" t="n">
        <x:v>5</x:v>
      </x:c>
      <x:c r="J25" s="13" t="n">
        <x:v>2</x:v>
      </x:c>
      <x:c r="K25" s="13" t="n">
        <x:v>0</x:v>
      </x:c>
      <x:c r="L25" s="13" t="n">
        <x:v>0</x:v>
      </x:c>
      <x:c r="M25" s="13" t="n">
        <x:v>0</x:v>
      </x:c>
      <x:c r="N25" s="13" t="n">
        <x:v>0</x:v>
      </x:c>
      <x:c r="O25" s="13" t="n">
        <x:v>7</x:v>
      </x:c>
      <x:c r="P25" s="14" t="str">
        <x:v>Corte 14/07–04/08 (GitHub): Aarón 5.0 h; Luis Martínez 2.0 h.</x:v>
      </x:c>
    </x:row>
    <x:row r="26">
      <x:c r="A26" t="n">
        <x:v>25</x:v>
      </x:c>
      <x:c r="B26" t="str">
        <x:v>Desarrollo</x:v>
      </x:c>
      <x:c r="C26" t="str">
        <x:v>Módulo Portal Interno</x:v>
      </x:c>
      <x:c r="D26" t="n">
        <x:v>40</x:v>
      </x:c>
      <x:c r="E26" t="n">
        <x:v>30</x:v>
      </x:c>
      <x:c r="F26" t="str">
        <x:v>Pendiente</x:v>
      </x:c>
      <x:c r="G26" t="str">
        <x:v>Luis Martínez, Aarón Mayorga, Luis Montero</x:v>
      </x:c>
      <x:c r="H26" s="13" t="n">
        <x:v>0</x:v>
      </x:c>
      <x:c r="I26" s="13" t="n">
        <x:v>4</x:v>
      </x:c>
      <x:c r="J26" s="13" t="n">
        <x:v>1</x:v>
      </x:c>
      <x:c r="K26" s="13" t="n">
        <x:v>0</x:v>
      </x:c>
      <x:c r="L26" s="13" t="n">
        <x:v>0</x:v>
      </x:c>
      <x:c r="M26" s="13" t="n">
        <x:v>0</x:v>
      </x:c>
      <x:c r="N26" s="13" t="n">
        <x:v>0</x:v>
      </x:c>
      <x:c r="O26" s="13" t="n">
        <x:v>5</x:v>
      </x:c>
      <x:c r="P26" s="14" t="str">
        <x:v>Corte 14/07–04/08 (GitHub): Aarón 4.0 h; Luis Martínez 1.0 h.</x:v>
      </x:c>
    </x:row>
    <x:row r="27">
      <x:c r="A27" t="n">
        <x:v>26</x:v>
      </x:c>
      <x:c r="B27" t="str">
        <x:v>Desarrollo</x:v>
      </x:c>
      <x:c r="C27" t="str">
        <x:v>Módulo Formulario Aseguramiento</x:v>
      </x:c>
      <x:c r="D27" t="n">
        <x:v>66</x:v>
      </x:c>
      <x:c r="E27" t="n">
        <x:v>15</x:v>
      </x:c>
      <x:c r="F27" t="str">
        <x:v>Pendiente</x:v>
      </x:c>
      <x:c r="G27" t="str">
        <x:v>Luis Montero, Aarón Mayorga, Luis Martínez</x:v>
      </x:c>
      <x:c r="H27" s="13" t="n">
        <x:v>0</x:v>
      </x:c>
      <x:c r="I27" s="13" t="n">
        <x:v>0</x:v>
      </x:c>
      <x:c r="J27" s="13" t="n">
        <x:v>0</x:v>
      </x:c>
      <x:c r="K27" s="13" t="n">
        <x:v>0</x:v>
      </x:c>
      <x:c r="L27" s="13" t="n">
        <x:v>0</x:v>
      </x:c>
      <x:c r="M27" s="13" t="n">
        <x:v>0</x:v>
      </x:c>
      <x:c r="N27" s="13" t="n">
        <x:v>0</x:v>
      </x:c>
      <x:c r="O27" s="13" t="n">
        <x:v>0</x:v>
      </x:c>
      <x:c r="P27" s="14" t="str"/>
    </x:row>
    <x:row r="28">
      <x:c r="A28" t="n">
        <x:v>27</x:v>
      </x:c>
      <x:c r="B28" t="str">
        <x:v>Desarrollo</x:v>
      </x:c>
      <x:c r="C28" t="str">
        <x:v>Módulo Revisión Aseguramiento</x:v>
      </x:c>
      <x:c r="D28" t="n">
        <x:v>76</x:v>
      </x:c>
      <x:c r="E28" t="n">
        <x:v>20</x:v>
      </x:c>
      <x:c r="F28" t="str">
        <x:v>Pendiente</x:v>
      </x:c>
      <x:c r="G28" t="str">
        <x:v>Aarón Mayorga, Luis Montero, Luis Martínez</x:v>
      </x:c>
      <x:c r="H28" s="13" t="n">
        <x:v>0</x:v>
      </x:c>
      <x:c r="I28" s="13" t="n">
        <x:v>0</x:v>
      </x:c>
      <x:c r="J28" s="13" t="n">
        <x:v>0</x:v>
      </x:c>
      <x:c r="K28" s="13" t="n">
        <x:v>0</x:v>
      </x:c>
      <x:c r="L28" s="13" t="n">
        <x:v>0</x:v>
      </x:c>
      <x:c r="M28" s="13" t="n">
        <x:v>0</x:v>
      </x:c>
      <x:c r="N28" s="13" t="n">
        <x:v>0</x:v>
      </x:c>
      <x:c r="O28" s="13" t="n">
        <x:v>0</x:v>
      </x:c>
      <x:c r="P28" s="14" t="str"/>
    </x:row>
    <x:row r="29">
      <x:c r="A29" t="n">
        <x:v>28</x:v>
      </x:c>
      <x:c r="B29" t="str">
        <x:v>Desarrollo</x:v>
      </x:c>
      <x:c r="C29" t="str">
        <x:v>Doc. especificaciones de dev.</x:v>
      </x:c>
      <x:c r="D29" t="n">
        <x:v>51</x:v>
      </x:c>
      <x:c r="E29" t="n">
        <x:v>70</x:v>
      </x:c>
      <x:c r="F29" t="str">
        <x:v>Pendiente</x:v>
      </x:c>
      <x:c r="G29" t="str">
        <x:v>Luis Montero, Aarón Mayorga, Luis Martínez, Jorge Jiménez</x:v>
      </x:c>
      <x:c r="H29" s="13" t="n">
        <x:v>0</x:v>
      </x:c>
      <x:c r="I29" s="13" t="n">
        <x:v>2</x:v>
      </x:c>
      <x:c r="J29" s="13" t="n">
        <x:v>5</x:v>
      </x:c>
      <x:c r="K29" s="13" t="n">
        <x:v>0</x:v>
      </x:c>
      <x:c r="L29" s="13" t="n">
        <x:v>0</x:v>
      </x:c>
      <x:c r="M29" s="13" t="n">
        <x:v>0</x:v>
      </x:c>
      <x:c r="N29" s="13" t="n">
        <x:v>0</x:v>
      </x:c>
      <x:c r="O29" s="13" t="n">
        <x:v>7</x:v>
      </x:c>
      <x:c r="P29" s="14" t="str">
        <x:v>Corte 14/07–04/08 (GitHub): Aarón 2.0 h; Luis Martínez 5.0 h.</x:v>
      </x:c>
    </x:row>
    <x:row r="30">
      <x:c r="A30" t="n">
        <x:v>29</x:v>
      </x:c>
      <x:c r="B30" t="str">
        <x:v>Pruebas</x:v>
      </x:c>
      <x:c r="C30" t="str">
        <x:v>Plan de pruebas</x:v>
      </x:c>
      <x:c r="D30" t="n">
        <x:v>17</x:v>
      </x:c>
      <x:c r="E30" t="n">
        <x:v>35</x:v>
      </x:c>
      <x:c r="F30" t="str">
        <x:v>Pendiente</x:v>
      </x:c>
      <x:c r="G30" t="str">
        <x:v>Karol, Daniel Pulido, Luis Montero, Jorge Jiménez</x:v>
      </x:c>
      <x:c r="H30" s="13" t="n">
        <x:v>0</x:v>
      </x:c>
      <x:c r="I30" s="13" t="n">
        <x:v>1</x:v>
      </x:c>
      <x:c r="J30" s="13" t="n">
        <x:v>6</x:v>
      </x:c>
      <x:c r="K30" s="13" t="n">
        <x:v>0</x:v>
      </x:c>
      <x:c r="L30" s="13" t="n">
        <x:v>0</x:v>
      </x:c>
      <x:c r="M30" s="13" t="n">
        <x:v>0</x:v>
      </x:c>
      <x:c r="N30" s="13" t="n">
        <x:v>0</x:v>
      </x:c>
      <x:c r="O30" s="13" t="n">
        <x:v>7</x:v>
      </x:c>
      <x:c r="P30" s="14" t="str">
        <x:v>Corte 14/07–04/08 (GitHub): Aarón 1.0 h; Luis Martínez 6.0 h.</x:v>
      </x:c>
    </x:row>
    <x:row r="31">
      <x:c r="A31" t="n">
        <x:v>30</x:v>
      </x:c>
      <x:c r="B31" t="str">
        <x:v>Pruebas</x:v>
      </x:c>
      <x:c r="C31" t="str">
        <x:v>Pruebas UAT Ciclo 1</x:v>
      </x:c>
      <x:c r="D31" t="n">
        <x:v>16</x:v>
      </x:c>
      <x:c r="E31" t="n">
        <x:v>0</x:v>
      </x:c>
      <x:c r="F31" t="str">
        <x:v>Pendiente</x:v>
      </x:c>
      <x:c r="G31" t="str">
        <x:v>Karol, Daniel Pulido, Luis Montero, Jorge Jiménez</x:v>
      </x:c>
      <x:c r="H31" s="13" t="n">
        <x:v>0</x:v>
      </x:c>
      <x:c r="I31" s="13" t="n">
        <x:v>0</x:v>
      </x:c>
      <x:c r="J31" s="13" t="n">
        <x:v>0</x:v>
      </x:c>
      <x:c r="K31" s="13" t="n">
        <x:v>0</x:v>
      </x:c>
      <x:c r="L31" s="13" t="n">
        <x:v>0</x:v>
      </x:c>
      <x:c r="M31" s="13" t="n">
        <x:v>0</x:v>
      </x:c>
      <x:c r="N31" s="13" t="n">
        <x:v>0</x:v>
      </x:c>
      <x:c r="O31" s="13" t="n">
        <x:v>0</x:v>
      </x:c>
      <x:c r="P31" s="14" t="str"/>
    </x:row>
    <x:row r="32">
      <x:c r="A32" t="n">
        <x:v>31</x:v>
      </x:c>
      <x:c r="B32" t="str">
        <x:v>Pruebas</x:v>
      </x:c>
      <x:c r="C32" t="str">
        <x:v>Corrección ciclo 1</x:v>
      </x:c>
      <x:c r="D32" t="n">
        <x:v>26</x:v>
      </x:c>
      <x:c r="E32" t="n">
        <x:v>0</x:v>
      </x:c>
      <x:c r="F32" t="str">
        <x:v>Pendiente</x:v>
      </x:c>
      <x:c r="G32" t="str">
        <x:v>Daniel Pulido, Aarón Mayorga, Luis Montero</x:v>
      </x:c>
      <x:c r="H32" s="13" t="n">
        <x:v>0</x:v>
      </x:c>
      <x:c r="I32" s="13" t="n">
        <x:v>0</x:v>
      </x:c>
      <x:c r="J32" s="13" t="n">
        <x:v>0</x:v>
      </x:c>
      <x:c r="K32" s="13" t="n">
        <x:v>0</x:v>
      </x:c>
      <x:c r="L32" s="13" t="n">
        <x:v>0</x:v>
      </x:c>
      <x:c r="M32" s="13" t="n">
        <x:v>0</x:v>
      </x:c>
      <x:c r="N32" s="13" t="n">
        <x:v>0</x:v>
      </x:c>
      <x:c r="O32" s="13" t="n">
        <x:v>0</x:v>
      </x:c>
      <x:c r="P32" s="14" t="str"/>
    </x:row>
    <x:row r="33">
      <x:c r="A33" t="n">
        <x:v>32</x:v>
      </x:c>
      <x:c r="B33" t="str">
        <x:v>Pruebas</x:v>
      </x:c>
      <x:c r="C33" t="str">
        <x:v>Pruebas UAT Ciclo 2</x:v>
      </x:c>
      <x:c r="D33" t="n">
        <x:v>8</x:v>
      </x:c>
      <x:c r="E33" t="n">
        <x:v>0</x:v>
      </x:c>
      <x:c r="F33" t="str">
        <x:v>Pendiente</x:v>
      </x:c>
      <x:c r="G33" t="str">
        <x:v>Karol, Daniel Pulido, Luis Montero, Jorge Jiménez</x:v>
      </x:c>
      <x:c r="H33" s="13" t="n">
        <x:v>0</x:v>
      </x:c>
      <x:c r="I33" s="13" t="n">
        <x:v>0</x:v>
      </x:c>
      <x:c r="J33" s="13" t="n">
        <x:v>0</x:v>
      </x:c>
      <x:c r="K33" s="13" t="n">
        <x:v>0</x:v>
      </x:c>
      <x:c r="L33" s="13" t="n">
        <x:v>0</x:v>
      </x:c>
      <x:c r="M33" s="13" t="n">
        <x:v>0</x:v>
      </x:c>
      <x:c r="N33" s="13" t="n">
        <x:v>0</x:v>
      </x:c>
      <x:c r="O33" s="13" t="n">
        <x:v>0</x:v>
      </x:c>
      <x:c r="P33" s="14" t="str"/>
    </x:row>
    <x:row r="34">
      <x:c r="A34" t="n">
        <x:v>33</x:v>
      </x:c>
      <x:c r="B34" t="str">
        <x:v>Impl. y Transferencia</x:v>
      </x:c>
      <x:c r="C34" t="str">
        <x:v>Impl. ambiente productivo</x:v>
      </x:c>
      <x:c r="D34" t="n">
        <x:v>25</x:v>
      </x:c>
      <x:c r="E34" t="n">
        <x:v>0</x:v>
      </x:c>
      <x:c r="F34" t="str">
        <x:v>Pendiente</x:v>
      </x:c>
      <x:c r="G34" t="str">
        <x:v>Kenneth, Daniel Pulido, Luis Montero, Jorge Jiménez</x:v>
      </x:c>
      <x:c r="H34" s="13" t="n">
        <x:v>0</x:v>
      </x:c>
      <x:c r="I34" s="13" t="n">
        <x:v>0</x:v>
      </x:c>
      <x:c r="J34" s="13" t="n">
        <x:v>0</x:v>
      </x:c>
      <x:c r="K34" s="13" t="n">
        <x:v>0</x:v>
      </x:c>
      <x:c r="L34" s="13" t="n">
        <x:v>0</x:v>
      </x:c>
      <x:c r="M34" s="13" t="n">
        <x:v>0</x:v>
      </x:c>
      <x:c r="N34" s="13" t="n">
        <x:v>0</x:v>
      </x:c>
      <x:c r="O34" s="13" t="n">
        <x:v>0</x:v>
      </x:c>
      <x:c r="P34" s="14" t="str">
        <x:v>🟠 Optimizado</x:v>
      </x:c>
    </x:row>
    <x:row r="35">
      <x:c r="A35" t="n">
        <x:v>34</x:v>
      </x:c>
      <x:c r="B35" t="str">
        <x:v>Impl. y Transferencia</x:v>
      </x:c>
      <x:c r="C35" t="str">
        <x:v>Guía de despliegue</x:v>
      </x:c>
      <x:c r="D35" t="n">
        <x:v>0</x:v>
      </x:c>
      <x:c r="E35" t="n">
        <x:v>100</x:v>
      </x:c>
      <x:c r="F35" t="str">
        <x:v>Listo</x:v>
      </x:c>
      <x:c r="G35" t="str">
        <x:v>Daniel Pulido, Luis Montero</x:v>
      </x:c>
      <x:c r="H35" s="13" t="n">
        <x:v>0</x:v>
      </x:c>
      <x:c r="I35" s="13" t="n">
        <x:v>0</x:v>
      </x:c>
      <x:c r="J35" s="13" t="n">
        <x:v>0</x:v>
      </x:c>
      <x:c r="K35" s="13" t="n">
        <x:v>0</x:v>
      </x:c>
      <x:c r="L35" s="13" t="n">
        <x:v>0</x:v>
      </x:c>
      <x:c r="M35" s="13" t="n">
        <x:v>0</x:v>
      </x:c>
      <x:c r="N35" s="13" t="n">
        <x:v>0</x:v>
      </x:c>
      <x:c r="O35" s="13" t="n">
        <x:v>0</x:v>
      </x:c>
      <x:c r="P35" s="14" t="str">
        <x:v>🟢 Reutilizable</x:v>
      </x:c>
    </x:row>
    <x:row r="36">
      <x:c r="A36" t="n">
        <x:v>35</x:v>
      </x:c>
      <x:c r="B36" t="str">
        <x:v>Impl. y Transferencia</x:v>
      </x:c>
      <x:c r="C36" t="str">
        <x:v>Manual operativo</x:v>
      </x:c>
      <x:c r="D36" t="n">
        <x:v>20</x:v>
      </x:c>
      <x:c r="E36" t="n">
        <x:v>0</x:v>
      </x:c>
      <x:c r="F36" t="str">
        <x:v>Pendiente</x:v>
      </x:c>
      <x:c r="G36" t="str">
        <x:v>Daniel Pulido, Luis Montero, Kenneth</x:v>
      </x:c>
      <x:c r="H36" s="13" t="n">
        <x:v>0</x:v>
      </x:c>
      <x:c r="I36" s="13" t="n">
        <x:v>0</x:v>
      </x:c>
      <x:c r="J36" s="13" t="n">
        <x:v>0</x:v>
      </x:c>
      <x:c r="K36" s="13" t="n">
        <x:v>0</x:v>
      </x:c>
      <x:c r="L36" s="13" t="n">
        <x:v>0</x:v>
      </x:c>
      <x:c r="M36" s="13" t="n">
        <x:v>0</x:v>
      </x:c>
      <x:c r="N36" s="13" t="n">
        <x:v>0</x:v>
      </x:c>
      <x:c r="O36" s="13" t="n">
        <x:v>0</x:v>
      </x:c>
      <x:c r="P36" s="14" t="str"/>
    </x:row>
    <x:row r="37">
      <x:c r="A37" t="n">
        <x:v>36</x:v>
      </x:c>
      <x:c r="B37" t="str">
        <x:v>Impl. y Transferencia</x:v>
      </x:c>
      <x:c r="C37" t="str">
        <x:v>Doc. de estabilización</x:v>
      </x:c>
      <x:c r="D37" t="n">
        <x:v>18</x:v>
      </x:c>
      <x:c r="E37" t="n">
        <x:v>0</x:v>
      </x:c>
      <x:c r="F37" t="str">
        <x:v>Pendiente</x:v>
      </x:c>
      <x:c r="G37" t="str">
        <x:v>Luis Montero, Aarón Mayorga, Kenneth</x:v>
      </x:c>
      <x:c r="H37" s="13" t="n">
        <x:v>0</x:v>
      </x:c>
      <x:c r="I37" s="13" t="n">
        <x:v>0</x:v>
      </x:c>
      <x:c r="J37" s="13" t="n">
        <x:v>0</x:v>
      </x:c>
      <x:c r="K37" s="13" t="n">
        <x:v>0</x:v>
      </x:c>
      <x:c r="L37" s="13" t="n">
        <x:v>0</x:v>
      </x:c>
      <x:c r="M37" s="13" t="n">
        <x:v>0</x:v>
      </x:c>
      <x:c r="N37" s="13" t="n">
        <x:v>0</x:v>
      </x:c>
      <x:c r="O37" s="13" t="n">
        <x:v>0</x:v>
      </x:c>
      <x:c r="P37" s="14" t="str"/>
    </x:row>
    <x:row r="38">
      <x:c r="A38" t="n">
        <x:v>37</x:v>
      </x:c>
      <x:c r="B38" t="str">
        <x:v>Migración de Datos</x:v>
      </x:c>
      <x:c r="C38" t="str">
        <x:v>Análisis y Mapeo de Datos (CSV)</x:v>
      </x:c>
      <x:c r="D38" t="n">
        <x:v>14</x:v>
      </x:c>
      <x:c r="E38" t="n">
        <x:v>20</x:v>
      </x:c>
      <x:c r="F38" t="str">
        <x:v>En curso</x:v>
      </x:c>
      <x:c r="G38" t="str">
        <x:v>Luis Montero, Aarón Mayorga, Karol</x:v>
      </x:c>
      <x:c r="H38" s="13" t="n">
        <x:v>3</x:v>
      </x:c>
      <x:c r="I38" s="13" t="n">
        <x:v>0</x:v>
      </x:c>
      <x:c r="J38" s="13" t="n">
        <x:v>0</x:v>
      </x:c>
      <x:c r="K38" s="13" t="n">
        <x:v>0</x:v>
      </x:c>
      <x:c r="L38" s="13" t="n">
        <x:v>0</x:v>
      </x:c>
      <x:c r="M38" s="13" t="n">
        <x:v>0</x:v>
      </x:c>
      <x:c r="N38" s="13" t="n">
        <x:v>0</x:v>
      </x:c>
      <x:c r="O38" s="13" t="n">
        <x:v>3</x:v>
      </x:c>
      <x:c r="P38" s="14" t="str"/>
    </x:row>
    <x:row r="39">
      <x:c r="A39" t="n">
        <x:v>38</x:v>
      </x:c>
      <x:c r="B39" t="str">
        <x:v>Migración de Datos</x:v>
      </x:c>
      <x:c r="C39" t="str">
        <x:v>Exportación CSV desde SharePoint</x:v>
      </x:c>
      <x:c r="D39" t="n">
        <x:v>8</x:v>
      </x:c>
      <x:c r="E39" t="n">
        <x:v>0</x:v>
      </x:c>
      <x:c r="F39" t="str">
        <x:v>Pendiente</x:v>
      </x:c>
      <x:c r="G39" t="str">
        <x:v>Karol, Kenneth</x:v>
      </x:c>
      <x:c r="H39" s="13" t="n">
        <x:v>0</x:v>
      </x:c>
      <x:c r="I39" s="13" t="n">
        <x:v>0</x:v>
      </x:c>
      <x:c r="J39" s="13" t="n">
        <x:v>0</x:v>
      </x:c>
      <x:c r="K39" s="13" t="n">
        <x:v>0</x:v>
      </x:c>
      <x:c r="L39" s="13" t="n">
        <x:v>0</x:v>
      </x:c>
      <x:c r="M39" s="13" t="n">
        <x:v>0</x:v>
      </x:c>
      <x:c r="N39" s="13" t="n">
        <x:v>0</x:v>
      </x:c>
      <x:c r="O39" s="13" t="n">
        <x:v>0</x:v>
      </x:c>
      <x:c r="P39" s="14" t="str"/>
    </x:row>
    <x:row r="40">
      <x:c r="A40" t="n">
        <x:v>39</x:v>
      </x:c>
      <x:c r="B40" t="str">
        <x:v>Migración de Datos</x:v>
      </x:c>
      <x:c r="C40" t="str">
        <x:v>Script Python: ETL</x:v>
      </x:c>
      <x:c r="D40" t="n">
        <x:v>32</x:v>
      </x:c>
      <x:c r="E40" t="n">
        <x:v>0</x:v>
      </x:c>
      <x:c r="F40" t="str">
        <x:v>Pendiente</x:v>
      </x:c>
      <x:c r="G40" t="str">
        <x:v>Aarón Mayorga, Luis Montero</x:v>
      </x:c>
      <x:c r="H40" s="13" t="n">
        <x:v>0</x:v>
      </x:c>
      <x:c r="I40" s="13" t="n">
        <x:v>0</x:v>
      </x:c>
      <x:c r="J40" s="13" t="n">
        <x:v>0</x:v>
      </x:c>
      <x:c r="K40" s="13" t="n">
        <x:v>0</x:v>
      </x:c>
      <x:c r="L40" s="13" t="n">
        <x:v>0</x:v>
      </x:c>
      <x:c r="M40" s="13" t="n">
        <x:v>0</x:v>
      </x:c>
      <x:c r="N40" s="13" t="n">
        <x:v>0</x:v>
      </x:c>
      <x:c r="O40" s="13" t="n">
        <x:v>0</x:v>
      </x:c>
      <x:c r="P40" s="14" t="str"/>
    </x:row>
    <x:row r="41">
      <x:c r="A41" t="n">
        <x:v>40</x:v>
      </x:c>
      <x:c r="B41" t="str">
        <x:v>Migración de Datos</x:v>
      </x:c>
      <x:c r="C41" t="str">
        <x:v>Revisión por Independencia</x:v>
      </x:c>
      <x:c r="D41" t="n">
        <x:v>12</x:v>
      </x:c>
      <x:c r="E41" t="n">
        <x:v>0</x:v>
      </x:c>
      <x:c r="F41" t="str">
        <x:v>Pendiente</x:v>
      </x:c>
      <x:c r="G41" t="str">
        <x:v>Karol, Luis Montero</x:v>
      </x:c>
      <x:c r="H41" s="13" t="n">
        <x:v>0</x:v>
      </x:c>
      <x:c r="I41" s="13" t="n">
        <x:v>0</x:v>
      </x:c>
      <x:c r="J41" s="13" t="n">
        <x:v>0</x:v>
      </x:c>
      <x:c r="K41" s="13" t="n">
        <x:v>0</x:v>
      </x:c>
      <x:c r="L41" s="13" t="n">
        <x:v>0</x:v>
      </x:c>
      <x:c r="M41" s="13" t="n">
        <x:v>0</x:v>
      </x:c>
      <x:c r="N41" s="13" t="n">
        <x:v>0</x:v>
      </x:c>
      <x:c r="O41" s="13" t="n">
        <x:v>0</x:v>
      </x:c>
      <x:c r="P41" s="14" t="str"/>
    </x:row>
    <x:row r="42">
      <x:c r="A42" t="n">
        <x:v>41</x:v>
      </x:c>
      <x:c r="B42" t="str">
        <x:v>Migración de Datos</x:v>
      </x:c>
      <x:c r="C42" t="str">
        <x:v>Carga a Supabase</x:v>
      </x:c>
      <x:c r="D42" t="n">
        <x:v>14</x:v>
      </x:c>
      <x:c r="E42" t="n">
        <x:v>0</x:v>
      </x:c>
      <x:c r="F42" t="str">
        <x:v>Pendiente</x:v>
      </x:c>
      <x:c r="G42" t="str">
        <x:v>Luis Montero, Aarón Mayorga</x:v>
      </x:c>
      <x:c r="H42" s="13" t="n">
        <x:v>0</x:v>
      </x:c>
      <x:c r="I42" s="13" t="n">
        <x:v>0</x:v>
      </x:c>
      <x:c r="J42" s="13" t="n">
        <x:v>0</x:v>
      </x:c>
      <x:c r="K42" s="13" t="n">
        <x:v>0</x:v>
      </x:c>
      <x:c r="L42" s="13" t="n">
        <x:v>0</x:v>
      </x:c>
      <x:c r="M42" s="13" t="n">
        <x:v>0</x:v>
      </x:c>
      <x:c r="N42" s="13" t="n">
        <x:v>0</x:v>
      </x:c>
      <x:c r="O42" s="13" t="n">
        <x:v>0</x:v>
      </x:c>
      <x:c r="P42" s="14" t="str"/>
    </x:row>
    <x:row r="43">
      <x:c r="A43" t="n">
        <x:v>42</x:v>
      </x:c>
      <x:c r="B43" t="str">
        <x:v>Migración de Datos</x:v>
      </x:c>
      <x:c r="C43" t="str">
        <x:v>Migración Archivos PDF</x:v>
      </x:c>
      <x:c r="D43" t="n">
        <x:v>20</x:v>
      </x:c>
      <x:c r="E43" t="n">
        <x:v>0</x:v>
      </x:c>
      <x:c r="F43" t="str">
        <x:v>Pendiente</x:v>
      </x:c>
      <x:c r="G43" t="str">
        <x:v>Aarón Mayorga, Luis Montero</x:v>
      </x:c>
      <x:c r="H43" s="13" t="n">
        <x:v>0</x:v>
      </x:c>
      <x:c r="I43" s="13" t="n">
        <x:v>0</x:v>
      </x:c>
      <x:c r="J43" s="13" t="n">
        <x:v>0</x:v>
      </x:c>
      <x:c r="K43" s="13" t="n">
        <x:v>0</x:v>
      </x:c>
      <x:c r="L43" s="13" t="n">
        <x:v>0</x:v>
      </x:c>
      <x:c r="M43" s="13" t="n">
        <x:v>0</x:v>
      </x:c>
      <x:c r="N43" s="13" t="n">
        <x:v>0</x:v>
      </x:c>
      <x:c r="O43" s="13" t="n">
        <x:v>0</x:v>
      </x:c>
      <x:c r="P43" s="14" t="str"/>
    </x:row>
    <x:row r="44">
      <x:c r="A44" t="n">
        <x:v>43</x:v>
      </x:c>
      <x:c r="B44" t="str">
        <x:v>Migración de Datos</x:v>
      </x:c>
      <x:c r="C44" t="str">
        <x:v>Validación de Integridad</x:v>
      </x:c>
      <x:c r="D44" t="n">
        <x:v>16</x:v>
      </x:c>
      <x:c r="E44" t="n">
        <x:v>0</x:v>
      </x:c>
      <x:c r="F44" t="str">
        <x:v>Pendiente</x:v>
      </x:c>
      <x:c r="G44" t="str">
        <x:v>Karol, Aarón Mayorga</x:v>
      </x:c>
      <x:c r="H44" s="13" t="n">
        <x:v>0</x:v>
      </x:c>
      <x:c r="I44" s="13" t="n">
        <x:v>0</x:v>
      </x:c>
      <x:c r="J44" s="13" t="n">
        <x:v>0</x:v>
      </x:c>
      <x:c r="K44" s="13" t="n">
        <x:v>0</x:v>
      </x:c>
      <x:c r="L44" s="13" t="n">
        <x:v>0</x:v>
      </x:c>
      <x:c r="M44" s="13" t="n">
        <x:v>0</x:v>
      </x:c>
      <x:c r="N44" s="13" t="n">
        <x:v>0</x:v>
      </x:c>
      <x:c r="O44" s="13" t="n">
        <x:v>0</x:v>
      </x:c>
      <x:c r="P44" s="14" t="str"/>
    </x:row>
    <x:row r="45">
      <x:c r="A45" t="n">
        <x:v>44</x:v>
      </x:c>
      <x:c r="B45" t="str">
        <x:v>Migración de Datos</x:v>
      </x:c>
      <x:c r="C45" t="str">
        <x:v>Doc. Proceso de Migración</x:v>
      </x:c>
      <x:c r="D45" t="n">
        <x:v>6</x:v>
      </x:c>
      <x:c r="E45" t="n">
        <x:v>0</x:v>
      </x:c>
      <x:c r="F45" t="str">
        <x:v>Pendiente</x:v>
      </x:c>
      <x:c r="G45" t="str">
        <x:v>Luis Montero, Aarón Mayorga</x:v>
      </x:c>
      <x:c r="H45" s="13" t="n">
        <x:v>0</x:v>
      </x:c>
      <x:c r="I45" s="13" t="n">
        <x:v>0</x:v>
      </x:c>
      <x:c r="J45" s="13" t="n">
        <x:v>0</x:v>
      </x:c>
      <x:c r="K45" s="13" t="n">
        <x:v>0</x:v>
      </x:c>
      <x:c r="L45" s="13" t="n">
        <x:v>0</x:v>
      </x:c>
      <x:c r="M45" s="13" t="n">
        <x:v>0</x:v>
      </x:c>
      <x:c r="N45" s="13" t="n">
        <x:v>0</x:v>
      </x:c>
      <x:c r="O45" s="13" t="n">
        <x:v>0</x:v>
      </x:c>
      <x:c r="P45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4.83203125" customWidth="1"/>
    <x:col min="2" max="2" width="8.83203125" customWidth="1"/>
    <x:col min="3" max="3" width="12.83203125" customWidth="1"/>
    <x:col min="4" max="4" width="11.83203125" customWidth="1"/>
    <x:col min="5" max="5" width="13.83203125" customWidth="1"/>
    <x:col min="6" max="6" width="10.83203125" customWidth="1"/>
  </x:cols>
  <x:sheetData>
    <x:row r="1">
      <x:c r="A1" t="str">
        <x:v>Fase</x:v>
      </x:c>
      <x:c r="B1" t="str">
        <x:v>Tareas</x:v>
      </x:c>
      <x:c r="C1" t="str">
        <x:v>Completadas</x:v>
      </x:c>
      <x:c r="D1" t="str">
        <x:v>Horas Plan</x:v>
      </x:c>
      <x:c r="E1" t="str">
        <x:v>Horas Reales</x:v>
      </x:c>
      <x:c r="F1" t="str">
        <x:v>Avance %</x:v>
      </x:c>
    </x:row>
    <x:row r="2">
      <x:c r="A2" t="str">
        <x:v>Levantamiento</x:v>
      </x:c>
      <x:c r="B2" t="n">
        <x:v>3</x:v>
      </x:c>
      <x:c r="C2" t="n">
        <x:v>3</x:v>
      </x:c>
      <x:c r="D2" s="13" t="n">
        <x:v>36</x:v>
      </x:c>
      <x:c r="E2" s="13" t="n">
        <x:v>79</x:v>
      </x:c>
      <x:c r="F2" s="13" t="n">
        <x:v>100</x:v>
      </x:c>
    </x:row>
    <x:row r="3">
      <x:c r="A3" t="str">
        <x:v>Diseño</x:v>
      </x:c>
      <x:c r="B3" t="n">
        <x:v>13</x:v>
      </x:c>
      <x:c r="C3" t="n">
        <x:v>5</x:v>
      </x:c>
      <x:c r="D3" s="13" t="n">
        <x:v>109</x:v>
      </x:c>
      <x:c r="E3" s="13" t="n">
        <x:v>133</x:v>
      </x:c>
      <x:c r="F3" s="13" t="n">
        <x:v>78.9</x:v>
      </x:c>
    </x:row>
    <x:row r="4">
      <x:c r="A4" t="str">
        <x:v>Desarrollo</x:v>
      </x:c>
      <x:c r="B4" t="n">
        <x:v>12</x:v>
      </x:c>
      <x:c r="C4" t="n">
        <x:v>0</x:v>
      </x:c>
      <x:c r="D4" s="13" t="n">
        <x:v>781</x:v>
      </x:c>
      <x:c r="E4" s="13" t="n">
        <x:v>173</x:v>
      </x:c>
      <x:c r="F4" s="13" t="n">
        <x:v>30.4</x:v>
      </x:c>
    </x:row>
    <x:row r="5">
      <x:c r="A5" t="str">
        <x:v>Pruebas</x:v>
      </x:c>
      <x:c r="B5" t="n">
        <x:v>4</x:v>
      </x:c>
      <x:c r="C5" t="n">
        <x:v>0</x:v>
      </x:c>
      <x:c r="D5" s="13" t="n">
        <x:v>67</x:v>
      </x:c>
      <x:c r="E5" s="13" t="n">
        <x:v>7</x:v>
      </x:c>
      <x:c r="F5" s="13" t="n">
        <x:v>8.9</x:v>
      </x:c>
    </x:row>
    <x:row r="6">
      <x:c r="A6" t="str">
        <x:v>Impl. y Transferencia</x:v>
      </x:c>
      <x:c r="B6" t="n">
        <x:v>4</x:v>
      </x:c>
      <x:c r="C6" t="n">
        <x:v>1</x:v>
      </x:c>
      <x:c r="D6" s="13" t="n">
        <x:v>63</x:v>
      </x:c>
      <x:c r="E6" s="13" t="n">
        <x:v>0</x:v>
      </x:c>
      <x:c r="F6" s="13" t="n">
        <x:v>0</x:v>
      </x:c>
    </x:row>
    <x:row r="7">
      <x:c r="A7" t="str">
        <x:v>Migración de Datos</x:v>
      </x:c>
      <x:c r="B7" t="n">
        <x:v>8</x:v>
      </x:c>
      <x:c r="C7" t="n">
        <x:v>0</x:v>
      </x:c>
      <x:c r="D7" s="13" t="n">
        <x:v>122</x:v>
      </x:c>
      <x:c r="E7" s="13" t="n">
        <x:v>3</x:v>
      </x:c>
      <x:c r="F7" s="13" t="n">
        <x:v>2.3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0.83203125" customWidth="1"/>
    <x:col min="2" max="2" width="6.83203125" customWidth="1"/>
    <x:col min="3" max="3" width="12.83203125" customWidth="1"/>
    <x:col min="4" max="4" width="16.83203125" customWidth="1"/>
    <x:col min="5" max="5" width="13.83203125" customWidth="1"/>
  </x:cols>
  <x:sheetData>
    <x:row r="1">
      <x:c r="A1" t="str">
        <x:v>Nombre</x:v>
      </x:c>
      <x:c r="B1" t="str">
        <x:v>Rol</x:v>
      </x:c>
      <x:c r="C1" t="str">
        <x:v>Dedicación</x:v>
      </x:c>
      <x:c r="D1" t="str">
        <x:v>Tareas Asignadas</x:v>
      </x:c>
      <x:c r="E1" t="str">
        <x:v>Horas Reales</x:v>
      </x:c>
    </x:row>
    <x:row r="2">
      <x:c r="A2" t="str">
        <x:v>Luis Montero</x:v>
      </x:c>
      <x:c r="B2" t="str">
        <x:v>DEV</x:v>
      </x:c>
      <x:c r="C2" t="str">
        <x:v>50%</x:v>
      </x:c>
      <x:c r="D2" t="n">
        <x:v>26</x:v>
      </x:c>
      <x:c r="E2" s="13" t="n">
        <x:v>7</x:v>
      </x:c>
    </x:row>
    <x:row r="3">
      <x:c r="A3" t="str">
        <x:v>Aarón Mayorga</x:v>
      </x:c>
      <x:c r="B3" t="str">
        <x:v>DEV</x:v>
      </x:c>
      <x:c r="C3" t="str">
        <x:v>75%</x:v>
      </x:c>
      <x:c r="D3" t="n">
        <x:v>24</x:v>
      </x:c>
      <x:c r="E3" s="13" t="n">
        <x:v>205</x:v>
      </x:c>
    </x:row>
    <x:row r="4">
      <x:c r="A4" t="str">
        <x:v>Luis Martínez</x:v>
      </x:c>
      <x:c r="B4" t="str">
        <x:v>DEV</x:v>
      </x:c>
      <x:c r="C4" t="str">
        <x:v>45%</x:v>
      </x:c>
      <x:c r="D4" t="n">
        <x:v>10</x:v>
      </x:c>
      <x:c r="E4" s="13" t="n">
        <x:v>108</x:v>
      </x:c>
    </x:row>
    <x:row r="5">
      <x:c r="A5" t="str">
        <x:v>Daniel Pulido</x:v>
      </x:c>
      <x:c r="B5" t="str">
        <x:v>ARQ</x:v>
      </x:c>
      <x:c r="C5" t="str">
        <x:v>30%</x:v>
      </x:c>
      <x:c r="D5" t="n">
        <x:v>20</x:v>
      </x:c>
      <x:c r="E5" s="13" t="n">
        <x:v>62</x:v>
      </x:c>
    </x:row>
    <x:row r="6">
      <x:c r="A6" t="str">
        <x:v>Karol</x:v>
      </x:c>
      <x:c r="B6" t="str">
        <x:v>AF</x:v>
      </x:c>
      <x:c r="C6" t="str">
        <x:v>30%</x:v>
      </x:c>
      <x:c r="D6" t="n">
        <x:v>9</x:v>
      </x:c>
      <x:c r="E6" s="13" t="n">
        <x:v>9</x:v>
      </x:c>
    </x:row>
    <x:row r="7">
      <x:c r="A7" t="str">
        <x:v>Jorge Jiménez</x:v>
      </x:c>
      <x:c r="B7" t="str">
        <x:v>PM</x:v>
      </x:c>
      <x:c r="C7" t="str">
        <x:v>40%</x:v>
      </x:c>
      <x:c r="D7" t="n">
        <x:v>10</x:v>
      </x:c>
      <x:c r="E7" s="13" t="n">
        <x:v>4</x:v>
      </x:c>
    </x:row>
    <x:row r="8">
      <x:c r="A8" t="str">
        <x:v>Kenneth</x:v>
      </x:c>
      <x:c r="B8" t="str">
        <x:v>ATI</x:v>
      </x:c>
      <x:c r="C8" t="str">
        <x:v>10%</x:v>
      </x:c>
      <x:c r="D8" t="n">
        <x:v>4</x:v>
      </x:c>
      <x:c r="E8" s="1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14" hidden="0" customWidth="1"/>
    <x:col min="11" max="11" width="72" hidden="0" customWidth="1"/>
  </x:cols>
  <x:sheetData>
    <x:row r="1" ht="32" customHeight="1">
      <x:c r="A1" s="8" t="str">
        <x:v>Fecha del corte</x:v>
      </x:c>
      <x:c r="B1" s="8" t="str">
        <x:v>Avance general</x:v>
      </x:c>
      <x:c r="C1" s="8" t="str">
        <x:v>Levantamiento</x:v>
      </x:c>
      <x:c r="D1" s="8" t="str">
        <x:v>Diseño</x:v>
      </x:c>
      <x:c r="E1" s="8" t="str">
        <x:v>Desarrollo</x:v>
      </x:c>
      <x:c r="F1" s="8" t="str">
        <x:v>Pruebas</x:v>
      </x:c>
      <x:c r="G1" s="8" t="str">
        <x:v>Impl. y transferencia</x:v>
      </x:c>
      <x:c r="H1" s="8" t="str">
        <x:v>Migración de datos</x:v>
      </x:c>
      <x:c r="I1" s="8" t="str">
        <x:v>Rama revisada</x:v>
      </x:c>
      <x:c r="J1" s="8" t="str">
        <x:v>Commit</x:v>
      </x:c>
      <x:c r="K1" s="4" t="str">
        <x:v>Notas / evidencia</x:v>
      </x:c>
    </x:row>
    <x:row r="2" ht="105" customHeight="1">
      <x:c r="A2" s="9" t="n">
        <x:v>46238</x:v>
      </x:c>
      <x:c r="B2" s="10" t="n">
        <x:v>0.312</x:v>
      </x:c>
      <x:c r="C2" s="10" t="n">
        <x:v>1</x:v>
      </x:c>
      <x:c r="D2" s="10" t="n">
        <x:v>0.789</x:v>
      </x:c>
      <x:c r="E2" s="10" t="n">
        <x:v>0.304</x:v>
      </x:c>
      <x:c r="F2" s="10" t="n">
        <x:v>0.089</x:v>
      </x:c>
      <x:c r="G2" s="10" t="n">
        <x:v>0</x:v>
      </x:c>
      <x:c r="H2" s="10" t="n">
        <x:v>0.023</x:v>
      </x:c>
      <x:c r="I2" s="11" t="str">
        <x:v>main</x:v>
      </x:c>
      <x:c r="J2" s="11" t="str">
        <x:v>31ecaf5..95a1b5b</x:v>
      </x:c>
      <x:c r="K2" s="12" t="str">
        <x:v>Corte 14/07–04/08 validado contra GitHub: 364 commits (355 sin merge + 9 merges), 443 archivos modificados y 16 días-persona activos. Estimación conservadora de 128.0 h omitidas: Aarón 56.0 h y Luis Martínez 72.0 h, a 8 h por día activo y distribuidas por entregable. Evidencia: https://github.com/Grant-Thornton-Costa-Rica/FARO/compare/31ecaf5...95a1b5b</x:v>
      </x:c>
    </x:row>
  </x:sheetData>
  <x:pageMargins left="0.7" right="0.7" top="0.75" bottom="0.75" header="0.3" footer="0.3"/>
  <x:tableParts count="1">
    <x:tablePart xmlns:r="http://schemas.openxmlformats.org/officeDocument/2006/relationships" r:id="R7ea6f4d536e741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8" hidden="0" customWidth="1"/>
  </x:cols>
  <x:sheetData>
    <x:row r="1" ht="34" customHeight="1">
      <x:c r="A1" s="17" t="str">
        <x:v>Estimación de horas omitidas · Corte 14/07–04/08/2026</x:v>
      </x:c>
      <x:c r="B1" s="17"/>
      <x:c r="C1" s="17"/>
      <x:c r="D1" s="17"/>
      <x:c r="E1" s="17"/>
      <x:c r="F1" s="17"/>
    </x:row>
    <x:row r="2">
      <x:c r="A2" s="5"/>
      <x:c r="B2" s="5"/>
      <x:c r="C2" s="5"/>
      <x:c r="D2" s="5"/>
      <x:c r="E2" s="5"/>
      <x:c r="F2" s="5"/>
    </x:row>
    <x:row r="3">
      <x:c r="A3" s="28" t="str">
        <x:v>Rango Git</x:v>
      </x:c>
      <x:c r="B3" s="12" t="str">
        <x:v>31ecaf5..95a1b5b</x:v>
      </x:c>
      <x:c r="C3" s="5"/>
      <x:c r="D3" s="5"/>
      <x:c r="E3" s="5"/>
      <x:c r="F3" s="5"/>
    </x:row>
    <x:row r="4">
      <x:c r="A4" s="28" t="str">
        <x:v>Fuente GitHub</x:v>
      </x:c>
      <x:c r="B4" s="12" t="str">
        <x:v>https://github.com/Grant-Thornton-Costa-Rica/FARO/compare/31ecaf5...95a1b5b</x:v>
      </x:c>
      <x:c r="C4" s="5"/>
      <x:c r="D4" s="5"/>
      <x:c r="E4" s="5"/>
      <x:c r="F4" s="5"/>
    </x:row>
    <x:row r="5">
      <x:c r="A5" s="28" t="str">
        <x:v>Commits totales</x:v>
      </x:c>
      <x:c r="B5" s="12" t="n">
        <x:v>364</x:v>
      </x:c>
      <x:c r="C5" s="5"/>
      <x:c r="D5" s="5"/>
      <x:c r="E5" s="5"/>
      <x:c r="F5" s="5"/>
    </x:row>
    <x:row r="6">
      <x:c r="A6" s="28" t="str">
        <x:v>Commits sin merge</x:v>
      </x:c>
      <x:c r="B6" s="12" t="n">
        <x:v>355</x:v>
      </x:c>
      <x:c r="C6" s="5"/>
      <x:c r="D6" s="5"/>
      <x:c r="E6" s="5"/>
      <x:c r="F6" s="5"/>
    </x:row>
    <x:row r="7">
      <x:c r="A7" s="28" t="str">
        <x:v>Merges</x:v>
      </x:c>
      <x:c r="B7" s="12" t="n">
        <x:v>9</x:v>
      </x:c>
      <x:c r="C7" s="5"/>
      <x:c r="D7" s="5"/>
      <x:c r="E7" s="5"/>
      <x:c r="F7" s="5"/>
    </x:row>
    <x:row r="8">
      <x:c r="A8" s="28" t="str">
        <x:v>Archivos modificados</x:v>
      </x:c>
      <x:c r="B8" s="12" t="n">
        <x:v>443</x:v>
      </x:c>
      <x:c r="C8" s="5"/>
      <x:c r="D8" s="5"/>
      <x:c r="E8" s="5"/>
      <x:c r="F8" s="5"/>
    </x:row>
    <x:row r="9">
      <x:c r="A9" s="28" t="str">
        <x:v>Inserciones / eliminaciones</x:v>
      </x:c>
      <x:c r="B9" s="12" t="str">
        <x:v>84,623 / 5,354</x:v>
      </x:c>
      <x:c r="C9" s="5"/>
      <x:c r="D9" s="5"/>
      <x:c r="E9" s="5"/>
      <x:c r="F9" s="5"/>
    </x:row>
    <x:row r="10">
      <x:c r="A10" s="28" t="str">
        <x:v>Método</x:v>
      </x:c>
      <x:c r="B10" s="12" t="str">
        <x:v>8 horas por día-persona activo; contraste con entregables y cambios del repositorio.</x:v>
      </x:c>
      <x:c r="C10" s="5"/>
      <x:c r="D10" s="5"/>
      <x:c r="E10" s="5"/>
      <x:c r="F10" s="5"/>
    </x:row>
    <x:row r="11">
      <x:c r="A11" s="5"/>
      <x:c r="B11" s="5"/>
      <x:c r="C11" s="5"/>
      <x:c r="D11" s="5"/>
      <x:c r="E11" s="5"/>
      <x:c r="F11" s="5"/>
    </x:row>
    <x:row r="12">
      <x:c r="A12" s="17" t="str">
        <x:v>Persona</x:v>
      </x:c>
      <x:c r="B12" s="17" t="str">
        <x:v>Commits</x:v>
      </x:c>
      <x:c r="C12" s="17" t="str">
        <x:v>Días activos</x:v>
      </x:c>
      <x:c r="D12" s="17" t="str">
        <x:v>Horas/día</x:v>
      </x:c>
      <x:c r="E12" s="17" t="str">
        <x:v>Horas estimadas</x:v>
      </x:c>
      <x:c r="F12" s="5"/>
    </x:row>
    <x:row r="13">
      <x:c r="A13" s="5" t="str">
        <x:v>Aarón Mayorga</x:v>
      </x:c>
      <x:c r="B13" s="29" t="n">
        <x:v>263</x:v>
      </x:c>
      <x:c r="C13" s="29" t="n">
        <x:v>7</x:v>
      </x:c>
      <x:c r="D13" s="29" t="n">
        <x:v>8</x:v>
      </x:c>
      <x:c r="E13" s="29" t="n">
        <x:f>C13*D13</x:f>
        <x:v>56</x:v>
      </x:c>
      <x:c r="F13" s="5"/>
    </x:row>
    <x:row r="14">
      <x:c r="A14" s="5" t="str">
        <x:v>Luis Martínez</x:v>
      </x:c>
      <x:c r="B14" s="29" t="n">
        <x:v>101</x:v>
      </x:c>
      <x:c r="C14" s="29" t="n">
        <x:v>9</x:v>
      </x:c>
      <x:c r="D14" s="29" t="n">
        <x:v>8</x:v>
      </x:c>
      <x:c r="E14" s="29" t="n">
        <x:f>C14*D14</x:f>
        <x:v>72</x:v>
      </x:c>
      <x:c r="F14" s="5"/>
    </x:row>
    <x:row r="15">
      <x:c r="A15" s="30" t="str">
        <x:v>Total</x:v>
      </x:c>
      <x:c r="B15" s="31" t="n">
        <x:v>364</x:v>
      </x:c>
      <x:c r="C15" s="31" t="n">
        <x:v>16</x:v>
      </x:c>
      <x:c r="D15" s="31"/>
      <x:c r="E15" s="31" t="n">
        <x:f>SUM(E13:E14)</x:f>
        <x:v>128</x:v>
      </x:c>
      <x:c r="F15" s="5"/>
    </x:row>
    <x:row r="16">
      <x:c r="A16" s="5"/>
      <x:c r="B16" s="5"/>
      <x:c r="C16" s="5"/>
      <x:c r="D16" s="5"/>
      <x:c r="E16" s="5"/>
      <x:c r="F16" s="5"/>
    </x:row>
    <x:row r="17" ht="58" customHeight="1">
      <x:c r="A17" s="27" t="str">
        <x:v>Criterio: los commits prueban actividad y alcance, pero no se convierten individualmente en horas. La estimación usa días-persona activos y se distribuye entre tareas con entregables verificables. No se atribuyeron horas del intervalo a personas sin commits.</x:v>
      </x:c>
      <x:c r="B17" s="27"/>
      <x:c r="C17" s="27"/>
      <x:c r="D17" s="27"/>
      <x:c r="E17" s="27"/>
      <x:c r="F17" s="27"/>
    </x:row>
    <x:row r="18">
      <x:c r="A18" s="5"/>
      <x:c r="B18" s="5"/>
      <x:c r="C18" s="5"/>
      <x:c r="D18" s="5"/>
      <x:c r="E18" s="5"/>
      <x:c r="F18" s="5"/>
    </x:row>
    <x:row r="19">
      <x:c r="A19" s="5"/>
      <x:c r="B19" s="5"/>
      <x:c r="C19" s="5"/>
      <x:c r="D19" s="5"/>
      <x:c r="E19" s="5"/>
      <x:c r="F19" s="5"/>
    </x:row>
    <x:row r="20">
      <x:c r="A20" s="5"/>
      <x:c r="B20" s="5"/>
      <x:c r="C20" s="5"/>
      <x:c r="D20" s="5"/>
      <x:c r="E20" s="5"/>
      <x:c r="F20" s="5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</x:sheetData>
  <x:mergeCells>
    <x:mergeCell ref="A1:F1"/>
    <x:mergeCell ref="A17:F17"/>
  </x:mergeCells>
  <x:pageMargins left="0.7" right="0.7" top="0.75" bottom="0.75" header="0.3" footer="0.3"/>
</x:worksheet>
</file>