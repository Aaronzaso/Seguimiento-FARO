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ron.mayorga\Downloads\"/>
    </mc:Choice>
  </mc:AlternateContent>
  <xr:revisionPtr revIDLastSave="0" documentId="13_ncr:1_{3679EC01-318C-408E-82CE-78158D55E4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onograma" sheetId="1" r:id="rId1"/>
    <sheet name="Resumen" sheetId="2" r:id="rId2"/>
    <sheet name="Equipo" sheetId="3" r:id="rId3"/>
  </sheets>
  <definedNames>
    <definedName name="_xlnm._FilterDatabase" localSheetId="0" hidden="1">Cronograma!$A$1:$P$45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C3" i="2"/>
  <c r="C4" i="2"/>
  <c r="C5" i="2"/>
  <c r="C6" i="2"/>
  <c r="C7" i="2"/>
  <c r="C2" i="2"/>
  <c r="B3" i="2"/>
  <c r="B4" i="2"/>
  <c r="B5" i="2"/>
  <c r="B6" i="2"/>
  <c r="B7" i="2"/>
  <c r="B2" i="2"/>
  <c r="B8" i="2" s="1"/>
  <c r="F3" i="2"/>
  <c r="F4" i="2"/>
  <c r="F5" i="2"/>
  <c r="F6" i="2"/>
  <c r="F7" i="2"/>
  <c r="C8" i="2" l="1"/>
</calcChain>
</file>

<file path=xl/sharedStrings.xml><?xml version="1.0" encoding="utf-8"?>
<sst xmlns="http://schemas.openxmlformats.org/spreadsheetml/2006/main" count="274" uniqueCount="129">
  <si>
    <t>ID</t>
  </si>
  <si>
    <t>Fase</t>
  </si>
  <si>
    <t>Tarea</t>
  </si>
  <si>
    <t>Horas Plan</t>
  </si>
  <si>
    <t>Avance %</t>
  </si>
  <si>
    <t>Estado</t>
  </si>
  <si>
    <t>Responsables</t>
  </si>
  <si>
    <t>Horas Luis Montero</t>
  </si>
  <si>
    <t>Horas Aarón Mayorga</t>
  </si>
  <si>
    <t>Horas Luis Martínez</t>
  </si>
  <si>
    <t>Horas Daniel Pulido</t>
  </si>
  <si>
    <t>Horas Karol</t>
  </si>
  <si>
    <t>Horas Jorge Jiménez</t>
  </si>
  <si>
    <t>Horas Kenneth</t>
  </si>
  <si>
    <t>Total Horas Reales</t>
  </si>
  <si>
    <t>Notas</t>
  </si>
  <si>
    <t>Levantamiento</t>
  </si>
  <si>
    <t>Reunión de levantamiento funcional</t>
  </si>
  <si>
    <t>Listo</t>
  </si>
  <si>
    <t>Aarón Mayorga, Luis Martínez</t>
  </si>
  <si>
    <t>Completada sin novedades</t>
  </si>
  <si>
    <t>Elaboración de doc. de requerimientos</t>
  </si>
  <si>
    <t>Luis Montero, Aarón Mayorga, Karol</t>
  </si>
  <si>
    <t>AM realizó requerimientos / LMM revisión</t>
  </si>
  <si>
    <t>Sesión de evacuación de dudas</t>
  </si>
  <si>
    <t>Karol, Jorge Jiménez, Aarón, Luis Montero</t>
  </si>
  <si>
    <t>Dudas PRE-REGISTRO / Responsabilidad</t>
  </si>
  <si>
    <t>Diseño</t>
  </si>
  <si>
    <t>Doc. Diseño de Arquitectura</t>
  </si>
  <si>
    <t>Aarón Mayorga</t>
  </si>
  <si>
    <t>Documentar Arquitectura lógica</t>
  </si>
  <si>
    <t>En curso</t>
  </si>
  <si>
    <t>Daniel Pulido</t>
  </si>
  <si>
    <t>Pendiente revisión final</t>
  </si>
  <si>
    <t>Documentar Arquitectura física</t>
  </si>
  <si>
    <t>🟢 Reutilizable</t>
  </si>
  <si>
    <t>Documentar Pipeline CI/CD</t>
  </si>
  <si>
    <t>Documentar Diseño modular</t>
  </si>
  <si>
    <t>En progreso</t>
  </si>
  <si>
    <t>Documentar Seguridad en el diseño</t>
  </si>
  <si>
    <t>Iniciado</t>
  </si>
  <si>
    <t>Modelo de datos lógico (BD)</t>
  </si>
  <si>
    <t>Pendiente</t>
  </si>
  <si>
    <t> </t>
  </si>
  <si>
    <t>Diseño de APIs (contratos)</t>
  </si>
  <si>
    <t>Daniel Pulido, Aarón Mayorga</t>
  </si>
  <si>
    <t>Configuración de repositorio</t>
  </si>
  <si>
    <t>Config. ambiente de desarrollo</t>
  </si>
  <si>
    <t>Jorge Jiménez</t>
  </si>
  <si>
    <t>Config. herramientas y frameworks</t>
  </si>
  <si>
    <t>Daniel Pulido, Luis Montero</t>
  </si>
  <si>
    <t>Config. ambiente de pruebas</t>
  </si>
  <si>
    <t>Automatización CI/CD</t>
  </si>
  <si>
    <t>Daniel Pulido, Jorge Jiménez</t>
  </si>
  <si>
    <t>Desarrollo</t>
  </si>
  <si>
    <t>Config. modelo de datos (Tablas, llaves)</t>
  </si>
  <si>
    <t>Daniel Pulido, Aarón Mayorga, Luis Montero</t>
  </si>
  <si>
    <t>Stored Procedures y Funciones</t>
  </si>
  <si>
    <t>Implementación de triggers</t>
  </si>
  <si>
    <t>Daniel Pulido, Luis Montero, Jorge Jiménez</t>
  </si>
  <si>
    <t>Implementación de RBAC</t>
  </si>
  <si>
    <t>Módulo de Administración</t>
  </si>
  <si>
    <t>Aarón Mayorga, Luis Montero, Luis Martínez, Jorge Jiménez</t>
  </si>
  <si>
    <t>🟠 Optimizado 50%</t>
  </si>
  <si>
    <t>Módulo Formulario GTRS</t>
  </si>
  <si>
    <t>Luis Montero, Aarón Mayorga</t>
  </si>
  <si>
    <t>El formulario está en un 95% del frontend validado por karol, y sugirió modificaciones para hacerlo aún más compacto</t>
  </si>
  <si>
    <t>Módulo Revisión de GTRS</t>
  </si>
  <si>
    <t>Aarón Mayorga, Luis Montero, Luis Martínez</t>
  </si>
  <si>
    <t>Módulo Portal de Captura</t>
  </si>
  <si>
    <t>Luis Martínez, Aarón Mayorga, Luis Montero</t>
  </si>
  <si>
    <t>Módulo Portal Interno</t>
  </si>
  <si>
    <t>Módulo Formulario Aseguramiento</t>
  </si>
  <si>
    <t>Luis Montero, Aarón Mayorga, Luis Martínez</t>
  </si>
  <si>
    <t>Módulo Revisión Aseguramiento</t>
  </si>
  <si>
    <t>Doc. especificaciones de dev.</t>
  </si>
  <si>
    <t>Luis Montero, Aarón Mayorga, Luis Martínez, Jorge Jiménez</t>
  </si>
  <si>
    <t>Pruebas</t>
  </si>
  <si>
    <t>Plan de pruebas</t>
  </si>
  <si>
    <t>Karol, Daniel Pulido, Luis Montero, Jorge Jiménez</t>
  </si>
  <si>
    <t>Pruebas UAT Ciclo 1</t>
  </si>
  <si>
    <t>Corrección ciclo 1</t>
  </si>
  <si>
    <t>Pruebas UAT Ciclo 2</t>
  </si>
  <si>
    <t>Impl. y Transferencia</t>
  </si>
  <si>
    <t>Impl. ambiente productivo</t>
  </si>
  <si>
    <t>Kenneth, Daniel Pulido, Luis Montero, Jorge Jiménez</t>
  </si>
  <si>
    <t>🟠 Optimizado</t>
  </si>
  <si>
    <t>Guía de despliegue</t>
  </si>
  <si>
    <t>Manual operativo</t>
  </si>
  <si>
    <t>Daniel Pulido, Luis Montero, Kenneth</t>
  </si>
  <si>
    <t>Doc. de estabilización</t>
  </si>
  <si>
    <t>Luis Montero, Aarón Mayorga, Kenneth</t>
  </si>
  <si>
    <t>Migración de Datos</t>
  </si>
  <si>
    <t>Análisis y Mapeo de Datos (CSV)</t>
  </si>
  <si>
    <t>Exportación CSV desde SharePoint</t>
  </si>
  <si>
    <t>Karol, Kenneth</t>
  </si>
  <si>
    <t>Script Python: ETL</t>
  </si>
  <si>
    <t>Aarón Mayorga, Luis Montero</t>
  </si>
  <si>
    <t>Revisión por Independencia</t>
  </si>
  <si>
    <t>Karol, Luis Montero</t>
  </si>
  <si>
    <t>Carga a Supabase</t>
  </si>
  <si>
    <t>Migración Archivos PDF</t>
  </si>
  <si>
    <t>Validación de Integridad</t>
  </si>
  <si>
    <t>Karol, Aarón Mayorga</t>
  </si>
  <si>
    <t>Doc. Proceso de Migración</t>
  </si>
  <si>
    <t>Tareas</t>
  </si>
  <si>
    <t>Completadas</t>
  </si>
  <si>
    <t>Horas Reales</t>
  </si>
  <si>
    <t>TOTAL</t>
  </si>
  <si>
    <t>Nombre</t>
  </si>
  <si>
    <t>Rol</t>
  </si>
  <si>
    <t>Dedicación</t>
  </si>
  <si>
    <t>Tareas Asignadas</t>
  </si>
  <si>
    <t>Luis Montero</t>
  </si>
  <si>
    <t>DEV</t>
  </si>
  <si>
    <t>50%</t>
  </si>
  <si>
    <t>75%</t>
  </si>
  <si>
    <t>Luis Martínez</t>
  </si>
  <si>
    <t>45%</t>
  </si>
  <si>
    <t>ARQ</t>
  </si>
  <si>
    <t>30%</t>
  </si>
  <si>
    <t>Karol</t>
  </si>
  <si>
    <t>AF</t>
  </si>
  <si>
    <t>PM</t>
  </si>
  <si>
    <t>40%</t>
  </si>
  <si>
    <t>Kenneth</t>
  </si>
  <si>
    <t>ATI</t>
  </si>
  <si>
    <t>10%</t>
  </si>
  <si>
    <t>La parte del GTRS ya se abarcó queda pendiente el NO-KAA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</si>
</sst>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2D2D2D"/>
      <name val="Arial"/>
    </font>
    <font>
      <b/>
      <sz val="9"/>
      <color rgb="FF00A7B5"/>
      <name val="Arial"/>
    </font>
    <font>
      <sz val="9"/>
      <color rgb="FF2D2D2D"/>
      <name val="Consolas"/>
    </font>
    <font>
      <b/>
      <sz val="9"/>
      <color rgb="FF6B9B1E"/>
      <name val="Consolas"/>
    </font>
    <font>
      <b/>
      <sz val="9"/>
      <color rgb="FF6B9B1E"/>
      <name val="Arial"/>
    </font>
    <font>
      <b/>
      <sz val="9"/>
      <color rgb="FF00A7B5"/>
      <name val="Consolas"/>
    </font>
    <font>
      <b/>
      <sz val="9"/>
      <color rgb="FF4F2D7F"/>
      <name val="Consolas"/>
    </font>
    <font>
      <b/>
      <sz val="9"/>
      <color rgb="FF4F2D7F"/>
      <name val="Arial"/>
    </font>
    <font>
      <sz val="9"/>
      <color rgb="FFCBC4BC"/>
      <name val="Arial"/>
    </font>
    <font>
      <b/>
      <sz val="9"/>
      <color rgb="FFFF7D1E"/>
      <name val="Arial"/>
    </font>
    <font>
      <b/>
      <sz val="9"/>
      <color rgb="FFE92841"/>
      <name val="Arial"/>
    </font>
    <font>
      <b/>
      <sz val="9"/>
      <color rgb="FF1F6E8C"/>
      <name val="Arial"/>
    </font>
    <font>
      <b/>
      <sz val="10"/>
      <color rgb="FF00A7B5"/>
      <name val="Arial"/>
    </font>
    <font>
      <b/>
      <sz val="10"/>
      <color rgb="FF4F2D7F"/>
      <name val="Arial"/>
    </font>
    <font>
      <b/>
      <sz val="10"/>
      <color rgb="FFFF7D1E"/>
      <name val="Arial"/>
    </font>
    <font>
      <b/>
      <sz val="10"/>
      <color rgb="FF6B9B1E"/>
      <name val="Arial"/>
    </font>
    <font>
      <b/>
      <sz val="10"/>
      <color rgb="FFE92841"/>
      <name val="Arial"/>
    </font>
    <font>
      <b/>
      <sz val="10"/>
      <color rgb="FF1F6E8C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F2D7F"/>
      </patternFill>
    </fill>
    <fill>
      <patternFill patternType="solid">
        <fgColor rgb="FFE5F6F8"/>
      </patternFill>
    </fill>
    <fill>
      <patternFill patternType="solid">
        <fgColor rgb="FFF2FAE2"/>
      </patternFill>
    </fill>
    <fill>
      <patternFill patternType="solid">
        <fgColor rgb="FFF3EFF8"/>
      </patternFill>
    </fill>
    <fill>
      <patternFill patternType="solid">
        <fgColor rgb="FFFFF2E8"/>
      </patternFill>
    </fill>
    <fill>
      <patternFill patternType="solid">
        <fgColor rgb="FFFDECEE"/>
      </patternFill>
    </fill>
    <fill>
      <patternFill patternType="solid">
        <fgColor rgb="FFE5F0F4"/>
      </patternFill>
    </fill>
    <fill>
      <patternFill patternType="solid">
        <fgColor rgb="FFE5F6F8"/>
        <bgColor rgb="FF000000"/>
      </patternFill>
    </fill>
    <fill>
      <patternFill patternType="solid">
        <fgColor rgb="FFF2FAE2"/>
        <bgColor rgb="FF000000"/>
      </patternFill>
    </fill>
    <fill>
      <patternFill patternType="solid">
        <fgColor rgb="FFF3EFF8"/>
        <bgColor rgb="FF000000"/>
      </patternFill>
    </fill>
    <fill>
      <patternFill patternType="solid">
        <fgColor rgb="FFF7F6F4"/>
        <bgColor rgb="FF000000"/>
      </patternFill>
    </fill>
    <fill>
      <patternFill patternType="solid">
        <fgColor rgb="FFFFF2E8"/>
        <bgColor rgb="FF000000"/>
      </patternFill>
    </fill>
    <fill>
      <patternFill patternType="solid">
        <fgColor rgb="FFFDECEE"/>
        <bgColor rgb="FF000000"/>
      </patternFill>
    </fill>
    <fill>
      <patternFill patternType="solid">
        <fgColor rgb="FFE5F0F4"/>
        <bgColor rgb="FF000000"/>
      </patternFill>
    </fill>
  </fills>
  <borders count="5">
    <border>
      <left/>
      <right/>
      <top/>
      <bottom/>
      <diagonal/>
    </border>
    <border>
      <left style="thin">
        <color rgb="FFE8E5E1"/>
      </left>
      <right style="thin">
        <color rgb="FFE8E5E1"/>
      </right>
      <top style="thin">
        <color rgb="FFE8E5E1"/>
      </top>
      <bottom style="thin">
        <color rgb="FFE8E5E1"/>
      </bottom>
      <diagonal/>
    </border>
    <border>
      <left/>
      <right style="thin">
        <color rgb="FFE8E5E1"/>
      </right>
      <top style="thin">
        <color rgb="FFE8E5E1"/>
      </top>
      <bottom style="thin">
        <color rgb="FFE8E5E1"/>
      </bottom>
      <diagonal/>
    </border>
    <border>
      <left style="thin">
        <color rgb="FFE8E5E1"/>
      </left>
      <right style="thin">
        <color rgb="FFE8E5E1"/>
      </right>
      <top/>
      <bottom style="thin">
        <color rgb="FFE8E5E1"/>
      </bottom>
      <diagonal/>
    </border>
    <border>
      <left/>
      <right style="thin">
        <color rgb="FFE8E5E1"/>
      </right>
      <top/>
      <bottom style="thin">
        <color rgb="FFE8E5E1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9" borderId="2" xfId="0" applyFont="1" applyFill="1" applyBorder="1"/>
    <xf numFmtId="0" fontId="2" fillId="0" borderId="2" xfId="0" applyFont="1" applyBorder="1" applyAlignment="1">
      <alignment wrapText="1"/>
    </xf>
    <xf numFmtId="0" fontId="4" fillId="0" borderId="2" xfId="0" applyFont="1" applyBorder="1"/>
    <xf numFmtId="0" fontId="5" fillId="10" borderId="2" xfId="0" applyFont="1" applyFill="1" applyBorder="1"/>
    <xf numFmtId="0" fontId="6" fillId="10" borderId="2" xfId="0" applyFont="1" applyFill="1" applyBorder="1"/>
    <xf numFmtId="0" fontId="20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0" borderId="2" xfId="0" applyFont="1" applyBorder="1"/>
    <xf numFmtId="0" fontId="2" fillId="0" borderId="3" xfId="0" applyFont="1" applyBorder="1"/>
    <xf numFmtId="0" fontId="3" fillId="9" borderId="4" xfId="0" applyFont="1" applyFill="1" applyBorder="1"/>
    <xf numFmtId="0" fontId="2" fillId="0" borderId="4" xfId="0" applyFont="1" applyBorder="1" applyAlignment="1">
      <alignment wrapText="1"/>
    </xf>
    <xf numFmtId="0" fontId="4" fillId="0" borderId="4" xfId="0" applyFont="1" applyBorder="1"/>
    <xf numFmtId="0" fontId="5" fillId="10" borderId="4" xfId="0" applyFont="1" applyFill="1" applyBorder="1"/>
    <xf numFmtId="0" fontId="6" fillId="10" borderId="4" xfId="0" applyFont="1" applyFill="1" applyBorder="1"/>
    <xf numFmtId="0" fontId="7" fillId="0" borderId="4" xfId="0" applyFont="1" applyBorder="1"/>
    <xf numFmtId="0" fontId="8" fillId="0" borderId="4" xfId="0" applyFont="1" applyBorder="1"/>
    <xf numFmtId="0" fontId="7" fillId="0" borderId="3" xfId="0" applyFont="1" applyBorder="1"/>
    <xf numFmtId="0" fontId="9" fillId="11" borderId="4" xfId="0" applyFont="1" applyFill="1" applyBorder="1"/>
    <xf numFmtId="0" fontId="7" fillId="9" borderId="4" xfId="0" applyFont="1" applyFill="1" applyBorder="1"/>
    <xf numFmtId="0" fontId="10" fillId="12" borderId="4" xfId="0" applyFont="1" applyFill="1" applyBorder="1"/>
    <xf numFmtId="0" fontId="11" fillId="13" borderId="4" xfId="0" applyFont="1" applyFill="1" applyBorder="1"/>
    <xf numFmtId="0" fontId="12" fillId="14" borderId="4" xfId="0" applyFont="1" applyFill="1" applyBorder="1"/>
    <xf numFmtId="0" fontId="13" fillId="15" borderId="4" xfId="0" applyFont="1" applyFill="1" applyBorder="1"/>
    <xf numFmtId="9" fontId="0" fillId="0" borderId="0" xfId="1" applyFont="1"/>
    <xf numFmtId="9" fontId="14" fillId="3" borderId="1" xfId="0" applyNumberFormat="1" applyFont="1" applyFill="1" applyBorder="1" applyAlignment="1">
      <alignment horizontal="center" vertical="center"/>
    </xf>
    <xf numFmtId="9" fontId="15" fillId="5" borderId="1" xfId="0" applyNumberFormat="1" applyFont="1" applyFill="1" applyBorder="1" applyAlignment="1">
      <alignment horizontal="center" vertical="center"/>
    </xf>
    <xf numFmtId="9" fontId="16" fillId="6" borderId="1" xfId="0" applyNumberFormat="1" applyFont="1" applyFill="1" applyBorder="1" applyAlignment="1">
      <alignment horizontal="center" vertical="center"/>
    </xf>
    <xf numFmtId="9" fontId="17" fillId="4" borderId="1" xfId="0" applyNumberFormat="1" applyFont="1" applyFill="1" applyBorder="1" applyAlignment="1">
      <alignment horizontal="center" vertical="center"/>
    </xf>
    <xf numFmtId="9" fontId="18" fillId="7" borderId="1" xfId="0" applyNumberFormat="1" applyFont="1" applyFill="1" applyBorder="1" applyAlignment="1">
      <alignment horizontal="center" vertical="center"/>
    </xf>
    <xf numFmtId="9" fontId="19" fillId="8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2D7F"/>
  </sheetPr>
  <dimension ref="A1:P45"/>
  <sheetViews>
    <sheetView tabSelected="1" workbookViewId="0">
      <pane ySplit="1" topLeftCell="A7" activePane="bottomLeft" state="frozen"/>
      <selection pane="bottomLeft" activeCell="F11" sqref="F11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45" customWidth="1"/>
    <col min="4" max="4" width="12" customWidth="1"/>
    <col min="5" max="5" width="10" customWidth="1"/>
    <col min="6" max="6" width="12" customWidth="1"/>
    <col min="7" max="7" width="38" customWidth="1"/>
    <col min="8" max="11" width="16" customWidth="1"/>
    <col min="12" max="12" width="12" customWidth="1"/>
    <col min="13" max="13" width="16" customWidth="1"/>
    <col min="14" max="14" width="12" customWidth="1"/>
    <col min="15" max="15" width="16" customWidth="1"/>
    <col min="16" max="16" width="42" customWidth="1"/>
  </cols>
  <sheetData>
    <row r="1" spans="1:1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" customHeight="1" x14ac:dyDescent="0.35">
      <c r="A2" s="13">
        <v>1</v>
      </c>
      <c r="B2" s="14" t="s">
        <v>16</v>
      </c>
      <c r="C2" s="15" t="s">
        <v>17</v>
      </c>
      <c r="D2" s="16">
        <v>12</v>
      </c>
      <c r="E2" s="17">
        <v>100</v>
      </c>
      <c r="F2" s="18" t="s">
        <v>18</v>
      </c>
      <c r="G2" s="19" t="s">
        <v>19</v>
      </c>
      <c r="H2" s="20">
        <v>0</v>
      </c>
      <c r="I2" s="21">
        <v>12</v>
      </c>
      <c r="J2" s="16">
        <v>12</v>
      </c>
      <c r="K2" s="16">
        <v>0</v>
      </c>
      <c r="L2" s="16">
        <v>0</v>
      </c>
      <c r="M2" s="21">
        <v>0</v>
      </c>
      <c r="N2" s="16">
        <v>0</v>
      </c>
      <c r="O2" s="22">
        <v>24</v>
      </c>
      <c r="P2" s="15" t="s">
        <v>20</v>
      </c>
    </row>
    <row r="3" spans="1:16" ht="22" customHeight="1" x14ac:dyDescent="0.35">
      <c r="A3" s="23">
        <v>2</v>
      </c>
      <c r="B3" s="24" t="s">
        <v>16</v>
      </c>
      <c r="C3" s="25" t="s">
        <v>21</v>
      </c>
      <c r="D3" s="26">
        <v>18</v>
      </c>
      <c r="E3" s="27">
        <v>100</v>
      </c>
      <c r="F3" s="28" t="s">
        <v>18</v>
      </c>
      <c r="G3" s="15" t="s">
        <v>22</v>
      </c>
      <c r="H3" s="29">
        <v>0</v>
      </c>
      <c r="I3" s="29">
        <v>30</v>
      </c>
      <c r="J3" s="26">
        <v>0</v>
      </c>
      <c r="K3" s="26">
        <v>0</v>
      </c>
      <c r="L3" s="29">
        <v>5</v>
      </c>
      <c r="M3" s="26">
        <v>0</v>
      </c>
      <c r="N3" s="26">
        <v>0</v>
      </c>
      <c r="O3" s="30">
        <v>35</v>
      </c>
      <c r="P3" s="19" t="s">
        <v>23</v>
      </c>
    </row>
    <row r="4" spans="1:16" ht="22" customHeight="1" x14ac:dyDescent="0.35">
      <c r="A4" s="23">
        <v>3</v>
      </c>
      <c r="B4" s="24" t="s">
        <v>16</v>
      </c>
      <c r="C4" s="25" t="s">
        <v>24</v>
      </c>
      <c r="D4" s="26">
        <v>6</v>
      </c>
      <c r="E4" s="27">
        <v>100</v>
      </c>
      <c r="F4" s="28" t="s">
        <v>18</v>
      </c>
      <c r="G4" s="19" t="s">
        <v>25</v>
      </c>
      <c r="H4" s="31">
        <v>4</v>
      </c>
      <c r="I4" s="26">
        <v>4</v>
      </c>
      <c r="J4" s="26">
        <v>4</v>
      </c>
      <c r="K4" s="26">
        <v>0</v>
      </c>
      <c r="L4" s="29">
        <v>4</v>
      </c>
      <c r="M4" s="29">
        <v>4</v>
      </c>
      <c r="N4" s="26">
        <v>0</v>
      </c>
      <c r="O4" s="30">
        <v>20</v>
      </c>
      <c r="P4" s="15" t="s">
        <v>26</v>
      </c>
    </row>
    <row r="5" spans="1:16" ht="22" customHeight="1" x14ac:dyDescent="0.35">
      <c r="A5" s="23">
        <v>4</v>
      </c>
      <c r="B5" s="32" t="s">
        <v>27</v>
      </c>
      <c r="C5" s="25" t="s">
        <v>28</v>
      </c>
      <c r="D5" s="26">
        <v>6</v>
      </c>
      <c r="E5" s="27">
        <v>100</v>
      </c>
      <c r="F5" s="28" t="s">
        <v>18</v>
      </c>
      <c r="G5" s="15" t="s">
        <v>29</v>
      </c>
      <c r="H5" s="26">
        <v>0</v>
      </c>
      <c r="I5" s="26">
        <v>6</v>
      </c>
      <c r="J5" s="26">
        <v>0</v>
      </c>
      <c r="K5" s="26">
        <v>0</v>
      </c>
      <c r="L5" s="26">
        <v>0</v>
      </c>
      <c r="M5" s="29">
        <v>0</v>
      </c>
      <c r="N5" s="29">
        <v>0</v>
      </c>
      <c r="O5" s="30">
        <v>6</v>
      </c>
      <c r="P5" s="19"/>
    </row>
    <row r="6" spans="1:16" ht="22" customHeight="1" x14ac:dyDescent="0.35">
      <c r="A6" s="23">
        <v>5</v>
      </c>
      <c r="B6" s="32" t="s">
        <v>27</v>
      </c>
      <c r="C6" s="25" t="s">
        <v>30</v>
      </c>
      <c r="D6" s="26">
        <v>12</v>
      </c>
      <c r="E6" s="33">
        <v>75</v>
      </c>
      <c r="F6" s="24" t="s">
        <v>31</v>
      </c>
      <c r="G6" s="25" t="s">
        <v>32</v>
      </c>
      <c r="H6" s="26">
        <v>0</v>
      </c>
      <c r="I6" s="26">
        <v>0</v>
      </c>
      <c r="J6" s="26">
        <v>0</v>
      </c>
      <c r="K6" s="29">
        <v>9</v>
      </c>
      <c r="L6" s="26">
        <v>0</v>
      </c>
      <c r="M6" s="26">
        <v>0</v>
      </c>
      <c r="N6" s="26">
        <v>0</v>
      </c>
      <c r="O6" s="30">
        <v>9</v>
      </c>
      <c r="P6" s="15" t="s">
        <v>33</v>
      </c>
    </row>
    <row r="7" spans="1:16" ht="22" customHeight="1" x14ac:dyDescent="0.35">
      <c r="A7" s="23">
        <v>6</v>
      </c>
      <c r="B7" s="32" t="s">
        <v>27</v>
      </c>
      <c r="C7" s="25" t="s">
        <v>34</v>
      </c>
      <c r="D7" s="26">
        <v>0</v>
      </c>
      <c r="E7" s="27">
        <v>100</v>
      </c>
      <c r="F7" s="28" t="s">
        <v>18</v>
      </c>
      <c r="G7" s="25" t="s">
        <v>32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30">
        <v>0</v>
      </c>
      <c r="P7" s="25" t="s">
        <v>35</v>
      </c>
    </row>
    <row r="8" spans="1:16" ht="22" customHeight="1" x14ac:dyDescent="0.35">
      <c r="A8" s="23">
        <v>7</v>
      </c>
      <c r="B8" s="32" t="s">
        <v>27</v>
      </c>
      <c r="C8" s="25" t="s">
        <v>36</v>
      </c>
      <c r="D8" s="26">
        <v>0</v>
      </c>
      <c r="E8" s="27">
        <v>100</v>
      </c>
      <c r="F8" s="28" t="s">
        <v>18</v>
      </c>
      <c r="G8" s="25" t="s">
        <v>32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30">
        <v>0</v>
      </c>
      <c r="P8" s="25" t="s">
        <v>35</v>
      </c>
    </row>
    <row r="9" spans="1:16" ht="22" customHeight="1" x14ac:dyDescent="0.35">
      <c r="A9" s="23">
        <v>8</v>
      </c>
      <c r="B9" s="32" t="s">
        <v>27</v>
      </c>
      <c r="C9" s="25" t="s">
        <v>37</v>
      </c>
      <c r="D9" s="26">
        <v>12</v>
      </c>
      <c r="E9" s="33">
        <v>50</v>
      </c>
      <c r="F9" s="24" t="s">
        <v>31</v>
      </c>
      <c r="G9" s="25" t="s">
        <v>32</v>
      </c>
      <c r="H9" s="26">
        <v>0</v>
      </c>
      <c r="I9" s="26">
        <v>0</v>
      </c>
      <c r="J9" s="26">
        <v>0</v>
      </c>
      <c r="K9" s="29">
        <v>6</v>
      </c>
      <c r="L9" s="26">
        <v>0</v>
      </c>
      <c r="M9" s="26">
        <v>0</v>
      </c>
      <c r="N9" s="26">
        <v>0</v>
      </c>
      <c r="O9" s="30">
        <v>6</v>
      </c>
      <c r="P9" s="25" t="s">
        <v>38</v>
      </c>
    </row>
    <row r="10" spans="1:16" ht="22" customHeight="1" x14ac:dyDescent="0.35">
      <c r="A10" s="23">
        <v>9</v>
      </c>
      <c r="B10" s="32" t="s">
        <v>27</v>
      </c>
      <c r="C10" s="25" t="s">
        <v>39</v>
      </c>
      <c r="D10" s="26">
        <v>6</v>
      </c>
      <c r="E10" s="33">
        <v>25</v>
      </c>
      <c r="F10" s="24" t="s">
        <v>31</v>
      </c>
      <c r="G10" s="25" t="s">
        <v>32</v>
      </c>
      <c r="H10" s="26">
        <v>0</v>
      </c>
      <c r="I10" s="26">
        <v>0</v>
      </c>
      <c r="J10" s="26">
        <v>0</v>
      </c>
      <c r="K10" s="29">
        <v>2</v>
      </c>
      <c r="L10" s="26">
        <v>0</v>
      </c>
      <c r="M10" s="26">
        <v>0</v>
      </c>
      <c r="N10" s="26">
        <v>0</v>
      </c>
      <c r="O10" s="30">
        <v>2</v>
      </c>
      <c r="P10" s="25" t="s">
        <v>40</v>
      </c>
    </row>
    <row r="11" spans="1:16" ht="22" customHeight="1" x14ac:dyDescent="0.35">
      <c r="A11" s="23">
        <v>10</v>
      </c>
      <c r="B11" s="32" t="s">
        <v>27</v>
      </c>
      <c r="C11" s="25" t="s">
        <v>41</v>
      </c>
      <c r="D11" s="26">
        <v>25</v>
      </c>
      <c r="E11" s="26">
        <v>75</v>
      </c>
      <c r="F11" s="24" t="s">
        <v>31</v>
      </c>
      <c r="G11" s="25" t="s">
        <v>19</v>
      </c>
      <c r="H11" s="26">
        <v>0</v>
      </c>
      <c r="I11" s="26">
        <v>20</v>
      </c>
      <c r="J11" s="26">
        <v>20</v>
      </c>
      <c r="K11" s="26">
        <v>10</v>
      </c>
      <c r="L11" s="26">
        <v>0</v>
      </c>
      <c r="M11" s="26">
        <v>0</v>
      </c>
      <c r="N11" s="26">
        <v>0</v>
      </c>
      <c r="O11" s="30">
        <v>0</v>
      </c>
      <c r="P11" s="25" t="s">
        <v>128</v>
      </c>
    </row>
    <row r="12" spans="1:16" ht="22" customHeight="1" x14ac:dyDescent="0.35">
      <c r="A12" s="23">
        <v>11</v>
      </c>
      <c r="B12" s="32" t="s">
        <v>27</v>
      </c>
      <c r="C12" s="25" t="s">
        <v>44</v>
      </c>
      <c r="D12" s="26">
        <v>20</v>
      </c>
      <c r="E12" s="26">
        <v>0</v>
      </c>
      <c r="F12" s="34" t="s">
        <v>42</v>
      </c>
      <c r="G12" s="25" t="s">
        <v>45</v>
      </c>
      <c r="H12" s="26">
        <v>0</v>
      </c>
      <c r="I12" s="26">
        <v>0</v>
      </c>
      <c r="J12" s="26">
        <v>0</v>
      </c>
      <c r="K12" s="26">
        <v>10</v>
      </c>
      <c r="L12" s="26">
        <v>0</v>
      </c>
      <c r="M12" s="26">
        <v>0</v>
      </c>
      <c r="N12" s="26">
        <v>0</v>
      </c>
      <c r="O12" s="30">
        <v>0</v>
      </c>
      <c r="P12" s="25" t="s">
        <v>43</v>
      </c>
    </row>
    <row r="13" spans="1:16" ht="22" customHeight="1" x14ac:dyDescent="0.35">
      <c r="A13" s="23">
        <v>12</v>
      </c>
      <c r="B13" s="32" t="s">
        <v>27</v>
      </c>
      <c r="C13" s="25" t="s">
        <v>46</v>
      </c>
      <c r="D13" s="26">
        <v>4</v>
      </c>
      <c r="E13" s="26">
        <v>0</v>
      </c>
      <c r="F13" s="34" t="s">
        <v>42</v>
      </c>
      <c r="G13" s="25" t="s">
        <v>32</v>
      </c>
      <c r="H13" s="26">
        <v>0</v>
      </c>
      <c r="I13" s="26">
        <v>0</v>
      </c>
      <c r="J13" s="26">
        <v>0</v>
      </c>
      <c r="K13" s="26">
        <v>4</v>
      </c>
      <c r="L13" s="26">
        <v>0</v>
      </c>
      <c r="M13" s="26">
        <v>0</v>
      </c>
      <c r="N13" s="26">
        <v>0</v>
      </c>
      <c r="O13" s="30">
        <v>0</v>
      </c>
      <c r="P13" s="25" t="s">
        <v>43</v>
      </c>
    </row>
    <row r="14" spans="1:16" ht="22" customHeight="1" x14ac:dyDescent="0.35">
      <c r="A14" s="23">
        <v>13</v>
      </c>
      <c r="B14" s="32" t="s">
        <v>27</v>
      </c>
      <c r="C14" s="25" t="s">
        <v>47</v>
      </c>
      <c r="D14" s="26">
        <v>1</v>
      </c>
      <c r="E14" s="26">
        <v>0</v>
      </c>
      <c r="F14" s="34" t="s">
        <v>42</v>
      </c>
      <c r="G14" s="25" t="s">
        <v>48</v>
      </c>
      <c r="H14" s="26">
        <v>0</v>
      </c>
      <c r="I14" s="26">
        <v>0</v>
      </c>
      <c r="J14" s="26">
        <v>0</v>
      </c>
      <c r="K14" s="26">
        <v>1</v>
      </c>
      <c r="L14" s="26">
        <v>0</v>
      </c>
      <c r="M14" s="26">
        <v>0</v>
      </c>
      <c r="N14" s="26">
        <v>0</v>
      </c>
      <c r="O14" s="30">
        <v>0</v>
      </c>
      <c r="P14" s="25" t="s">
        <v>43</v>
      </c>
    </row>
    <row r="15" spans="1:16" ht="22" customHeight="1" x14ac:dyDescent="0.35">
      <c r="A15" s="23">
        <v>14</v>
      </c>
      <c r="B15" s="32" t="s">
        <v>27</v>
      </c>
      <c r="C15" s="25" t="s">
        <v>49</v>
      </c>
      <c r="D15" s="26">
        <v>8</v>
      </c>
      <c r="E15" s="26">
        <v>0</v>
      </c>
      <c r="F15" s="34" t="s">
        <v>42</v>
      </c>
      <c r="G15" s="25" t="s">
        <v>50</v>
      </c>
      <c r="H15" s="26">
        <v>0</v>
      </c>
      <c r="I15" s="26">
        <v>0</v>
      </c>
      <c r="J15" s="26">
        <v>0</v>
      </c>
      <c r="K15" s="26">
        <v>8</v>
      </c>
      <c r="L15" s="26">
        <v>0</v>
      </c>
      <c r="M15" s="26">
        <v>0</v>
      </c>
      <c r="N15" s="26">
        <v>0</v>
      </c>
      <c r="O15" s="30">
        <v>0</v>
      </c>
      <c r="P15" s="25" t="s">
        <v>43</v>
      </c>
    </row>
    <row r="16" spans="1:16" ht="22" customHeight="1" x14ac:dyDescent="0.35">
      <c r="A16" s="23">
        <v>15</v>
      </c>
      <c r="B16" s="32" t="s">
        <v>27</v>
      </c>
      <c r="C16" s="25" t="s">
        <v>51</v>
      </c>
      <c r="D16" s="26">
        <v>10</v>
      </c>
      <c r="E16" s="26">
        <v>0</v>
      </c>
      <c r="F16" s="34" t="s">
        <v>42</v>
      </c>
      <c r="G16" s="25" t="s">
        <v>32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30">
        <v>0</v>
      </c>
      <c r="P16" s="25" t="s">
        <v>43</v>
      </c>
    </row>
    <row r="17" spans="1:16" ht="22" customHeight="1" x14ac:dyDescent="0.35">
      <c r="A17" s="23">
        <v>16</v>
      </c>
      <c r="B17" s="32" t="s">
        <v>27</v>
      </c>
      <c r="C17" s="25" t="s">
        <v>52</v>
      </c>
      <c r="D17" s="26">
        <v>5</v>
      </c>
      <c r="E17" s="26">
        <v>0</v>
      </c>
      <c r="F17" s="34" t="s">
        <v>42</v>
      </c>
      <c r="G17" s="25" t="s">
        <v>53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30">
        <v>0</v>
      </c>
      <c r="P17" s="25" t="s">
        <v>43</v>
      </c>
    </row>
    <row r="18" spans="1:16" ht="22" customHeight="1" x14ac:dyDescent="0.35">
      <c r="A18" s="23">
        <v>17</v>
      </c>
      <c r="B18" s="35" t="s">
        <v>54</v>
      </c>
      <c r="C18" s="25" t="s">
        <v>55</v>
      </c>
      <c r="D18" s="26">
        <v>28</v>
      </c>
      <c r="E18" s="26">
        <v>0</v>
      </c>
      <c r="F18" s="34" t="s">
        <v>42</v>
      </c>
      <c r="G18" s="25" t="s">
        <v>19</v>
      </c>
      <c r="H18" s="26">
        <v>0</v>
      </c>
      <c r="I18" s="26">
        <v>0</v>
      </c>
      <c r="J18" s="26">
        <v>0</v>
      </c>
      <c r="K18" s="26">
        <v>10</v>
      </c>
      <c r="L18" s="26">
        <v>0</v>
      </c>
      <c r="M18" s="26">
        <v>0</v>
      </c>
      <c r="N18" s="26">
        <v>0</v>
      </c>
      <c r="O18" s="30">
        <v>0</v>
      </c>
      <c r="P18" s="25" t="s">
        <v>43</v>
      </c>
    </row>
    <row r="19" spans="1:16" ht="22" customHeight="1" x14ac:dyDescent="0.35">
      <c r="A19" s="23">
        <v>18</v>
      </c>
      <c r="B19" s="35" t="s">
        <v>54</v>
      </c>
      <c r="C19" s="25" t="s">
        <v>57</v>
      </c>
      <c r="D19" s="26">
        <v>12</v>
      </c>
      <c r="E19" s="26">
        <v>0</v>
      </c>
      <c r="F19" s="34" t="s">
        <v>42</v>
      </c>
      <c r="G19" s="25" t="s">
        <v>45</v>
      </c>
      <c r="H19" s="26">
        <v>0</v>
      </c>
      <c r="I19" s="26">
        <v>0</v>
      </c>
      <c r="J19" s="26">
        <v>0</v>
      </c>
      <c r="K19" s="26">
        <v>2</v>
      </c>
      <c r="L19" s="26">
        <v>0</v>
      </c>
      <c r="M19" s="26">
        <v>0</v>
      </c>
      <c r="N19" s="26">
        <v>0</v>
      </c>
      <c r="O19" s="30">
        <v>0</v>
      </c>
      <c r="P19" s="25" t="s">
        <v>43</v>
      </c>
    </row>
    <row r="20" spans="1:16" ht="22" customHeight="1" x14ac:dyDescent="0.35">
      <c r="A20" s="23">
        <v>19</v>
      </c>
      <c r="B20" s="35" t="s">
        <v>54</v>
      </c>
      <c r="C20" s="25" t="s">
        <v>58</v>
      </c>
      <c r="D20" s="26">
        <v>13</v>
      </c>
      <c r="E20" s="26">
        <v>0</v>
      </c>
      <c r="F20" s="34" t="s">
        <v>42</v>
      </c>
      <c r="G20" s="25" t="s">
        <v>59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30">
        <v>0</v>
      </c>
      <c r="P20" s="25" t="s">
        <v>43</v>
      </c>
    </row>
    <row r="21" spans="1:16" ht="22" customHeight="1" x14ac:dyDescent="0.35">
      <c r="A21" s="23">
        <v>20</v>
      </c>
      <c r="B21" s="35" t="s">
        <v>54</v>
      </c>
      <c r="C21" s="25" t="s">
        <v>60</v>
      </c>
      <c r="D21" s="26">
        <v>17</v>
      </c>
      <c r="E21" s="26">
        <v>50</v>
      </c>
      <c r="F21" s="24" t="s">
        <v>31</v>
      </c>
      <c r="G21" s="25" t="s">
        <v>45</v>
      </c>
      <c r="H21" s="26">
        <v>0</v>
      </c>
      <c r="I21" s="26">
        <v>7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30">
        <v>7</v>
      </c>
      <c r="P21" s="25" t="s">
        <v>43</v>
      </c>
    </row>
    <row r="22" spans="1:16" ht="22" customHeight="1" x14ac:dyDescent="0.35">
      <c r="A22" s="23">
        <v>21</v>
      </c>
      <c r="B22" s="35" t="s">
        <v>54</v>
      </c>
      <c r="C22" s="25" t="s">
        <v>61</v>
      </c>
      <c r="D22" s="26">
        <v>70</v>
      </c>
      <c r="E22" s="26">
        <v>0</v>
      </c>
      <c r="F22" s="34" t="s">
        <v>42</v>
      </c>
      <c r="G22" s="25" t="s">
        <v>62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30">
        <v>0</v>
      </c>
      <c r="P22" s="25" t="s">
        <v>63</v>
      </c>
    </row>
    <row r="23" spans="1:16" ht="22" customHeight="1" x14ac:dyDescent="0.35">
      <c r="A23" s="23">
        <v>22</v>
      </c>
      <c r="B23" s="35" t="s">
        <v>54</v>
      </c>
      <c r="C23" s="25" t="s">
        <v>64</v>
      </c>
      <c r="D23" s="26">
        <v>124</v>
      </c>
      <c r="E23" s="26">
        <v>55</v>
      </c>
      <c r="F23" s="34" t="s">
        <v>42</v>
      </c>
      <c r="G23" s="25" t="s">
        <v>65</v>
      </c>
      <c r="H23" s="26">
        <v>0</v>
      </c>
      <c r="I23" s="26">
        <v>70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30">
        <v>48</v>
      </c>
      <c r="P23" s="25" t="s">
        <v>66</v>
      </c>
    </row>
    <row r="24" spans="1:16" ht="22" customHeight="1" x14ac:dyDescent="0.35">
      <c r="A24" s="23">
        <v>23</v>
      </c>
      <c r="B24" s="35" t="s">
        <v>54</v>
      </c>
      <c r="C24" s="25" t="s">
        <v>67</v>
      </c>
      <c r="D24" s="26">
        <v>142</v>
      </c>
      <c r="E24" s="26">
        <v>0</v>
      </c>
      <c r="F24" s="34" t="s">
        <v>42</v>
      </c>
      <c r="G24" s="25" t="s">
        <v>68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30">
        <v>0</v>
      </c>
      <c r="P24" s="25" t="s">
        <v>43</v>
      </c>
    </row>
    <row r="25" spans="1:16" ht="22" customHeight="1" x14ac:dyDescent="0.35">
      <c r="A25" s="23">
        <v>24</v>
      </c>
      <c r="B25" s="35" t="s">
        <v>54</v>
      </c>
      <c r="C25" s="25" t="s">
        <v>69</v>
      </c>
      <c r="D25" s="26">
        <v>142</v>
      </c>
      <c r="E25" s="26">
        <v>0</v>
      </c>
      <c r="F25" s="34" t="s">
        <v>42</v>
      </c>
      <c r="G25" s="25" t="s">
        <v>70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30">
        <v>0</v>
      </c>
      <c r="P25" s="25" t="s">
        <v>43</v>
      </c>
    </row>
    <row r="26" spans="1:16" ht="22" customHeight="1" x14ac:dyDescent="0.35">
      <c r="A26" s="23">
        <v>25</v>
      </c>
      <c r="B26" s="35" t="s">
        <v>54</v>
      </c>
      <c r="C26" s="25" t="s">
        <v>71</v>
      </c>
      <c r="D26" s="26">
        <v>40</v>
      </c>
      <c r="E26" s="26">
        <v>0</v>
      </c>
      <c r="F26" s="34" t="s">
        <v>42</v>
      </c>
      <c r="G26" s="25" t="s">
        <v>70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30">
        <v>0</v>
      </c>
      <c r="P26" s="25" t="s">
        <v>43</v>
      </c>
    </row>
    <row r="27" spans="1:16" ht="22" customHeight="1" x14ac:dyDescent="0.35">
      <c r="A27" s="23">
        <v>26</v>
      </c>
      <c r="B27" s="35" t="s">
        <v>54</v>
      </c>
      <c r="C27" s="25" t="s">
        <v>72</v>
      </c>
      <c r="D27" s="26">
        <v>66</v>
      </c>
      <c r="E27" s="26">
        <v>0</v>
      </c>
      <c r="F27" s="34" t="s">
        <v>42</v>
      </c>
      <c r="G27" s="25" t="s">
        <v>73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30">
        <v>0</v>
      </c>
      <c r="P27" s="25" t="s">
        <v>43</v>
      </c>
    </row>
    <row r="28" spans="1:16" ht="22" customHeight="1" x14ac:dyDescent="0.35">
      <c r="A28" s="23">
        <v>27</v>
      </c>
      <c r="B28" s="35" t="s">
        <v>54</v>
      </c>
      <c r="C28" s="25" t="s">
        <v>74</v>
      </c>
      <c r="D28" s="26">
        <v>76</v>
      </c>
      <c r="E28" s="26">
        <v>0</v>
      </c>
      <c r="F28" s="34" t="s">
        <v>42</v>
      </c>
      <c r="G28" s="25" t="s">
        <v>68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30">
        <v>0</v>
      </c>
      <c r="P28" s="25" t="s">
        <v>43</v>
      </c>
    </row>
    <row r="29" spans="1:16" ht="22" customHeight="1" x14ac:dyDescent="0.35">
      <c r="A29" s="23">
        <v>28</v>
      </c>
      <c r="B29" s="35" t="s">
        <v>54</v>
      </c>
      <c r="C29" s="25" t="s">
        <v>75</v>
      </c>
      <c r="D29" s="26">
        <v>51</v>
      </c>
      <c r="E29" s="26">
        <v>0</v>
      </c>
      <c r="F29" s="34" t="s">
        <v>42</v>
      </c>
      <c r="G29" s="25" t="s">
        <v>76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30">
        <v>0</v>
      </c>
      <c r="P29" s="25" t="s">
        <v>43</v>
      </c>
    </row>
    <row r="30" spans="1:16" ht="22" customHeight="1" x14ac:dyDescent="0.35">
      <c r="A30" s="23">
        <v>29</v>
      </c>
      <c r="B30" s="28" t="s">
        <v>77</v>
      </c>
      <c r="C30" s="25" t="s">
        <v>78</v>
      </c>
      <c r="D30" s="26">
        <v>17</v>
      </c>
      <c r="E30" s="26">
        <v>0</v>
      </c>
      <c r="F30" s="34" t="s">
        <v>42</v>
      </c>
      <c r="G30" s="25" t="s">
        <v>79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30">
        <v>0</v>
      </c>
      <c r="P30" s="25" t="s">
        <v>43</v>
      </c>
    </row>
    <row r="31" spans="1:16" ht="22" customHeight="1" x14ac:dyDescent="0.35">
      <c r="A31" s="23">
        <v>30</v>
      </c>
      <c r="B31" s="28" t="s">
        <v>77</v>
      </c>
      <c r="C31" s="25" t="s">
        <v>80</v>
      </c>
      <c r="D31" s="26">
        <v>16</v>
      </c>
      <c r="E31" s="26">
        <v>0</v>
      </c>
      <c r="F31" s="34" t="s">
        <v>42</v>
      </c>
      <c r="G31" s="25" t="s">
        <v>79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30">
        <v>0</v>
      </c>
      <c r="P31" s="25" t="s">
        <v>43</v>
      </c>
    </row>
    <row r="32" spans="1:16" ht="22" customHeight="1" x14ac:dyDescent="0.35">
      <c r="A32" s="23">
        <v>31</v>
      </c>
      <c r="B32" s="28" t="s">
        <v>77</v>
      </c>
      <c r="C32" s="25" t="s">
        <v>81</v>
      </c>
      <c r="D32" s="26">
        <v>26</v>
      </c>
      <c r="E32" s="26">
        <v>0</v>
      </c>
      <c r="F32" s="34" t="s">
        <v>42</v>
      </c>
      <c r="G32" s="25" t="s">
        <v>56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30">
        <v>0</v>
      </c>
      <c r="P32" s="25" t="s">
        <v>43</v>
      </c>
    </row>
    <row r="33" spans="1:16" ht="22" customHeight="1" x14ac:dyDescent="0.35">
      <c r="A33" s="23">
        <v>32</v>
      </c>
      <c r="B33" s="28" t="s">
        <v>77</v>
      </c>
      <c r="C33" s="25" t="s">
        <v>82</v>
      </c>
      <c r="D33" s="26">
        <v>8</v>
      </c>
      <c r="E33" s="26">
        <v>0</v>
      </c>
      <c r="F33" s="34" t="s">
        <v>42</v>
      </c>
      <c r="G33" s="25" t="s">
        <v>79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30">
        <v>0</v>
      </c>
      <c r="P33" s="25" t="s">
        <v>43</v>
      </c>
    </row>
    <row r="34" spans="1:16" ht="22" customHeight="1" x14ac:dyDescent="0.35">
      <c r="A34" s="23">
        <v>33</v>
      </c>
      <c r="B34" s="36" t="s">
        <v>83</v>
      </c>
      <c r="C34" s="25" t="s">
        <v>84</v>
      </c>
      <c r="D34" s="26">
        <v>25</v>
      </c>
      <c r="E34" s="26">
        <v>0</v>
      </c>
      <c r="F34" s="34" t="s">
        <v>42</v>
      </c>
      <c r="G34" s="25" t="s">
        <v>85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30">
        <v>0</v>
      </c>
      <c r="P34" s="25" t="s">
        <v>86</v>
      </c>
    </row>
    <row r="35" spans="1:16" ht="22" customHeight="1" x14ac:dyDescent="0.35">
      <c r="A35" s="23">
        <v>34</v>
      </c>
      <c r="B35" s="36" t="s">
        <v>83</v>
      </c>
      <c r="C35" s="25" t="s">
        <v>87</v>
      </c>
      <c r="D35" s="26">
        <v>0</v>
      </c>
      <c r="E35" s="27">
        <v>100</v>
      </c>
      <c r="F35" s="28" t="s">
        <v>18</v>
      </c>
      <c r="G35" s="25" t="s">
        <v>50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30">
        <v>0</v>
      </c>
      <c r="P35" s="25" t="s">
        <v>35</v>
      </c>
    </row>
    <row r="36" spans="1:16" ht="22" customHeight="1" x14ac:dyDescent="0.35">
      <c r="A36" s="23">
        <v>35</v>
      </c>
      <c r="B36" s="36" t="s">
        <v>83</v>
      </c>
      <c r="C36" s="25" t="s">
        <v>88</v>
      </c>
      <c r="D36" s="26">
        <v>20</v>
      </c>
      <c r="E36" s="26">
        <v>0</v>
      </c>
      <c r="F36" s="34" t="s">
        <v>42</v>
      </c>
      <c r="G36" s="25" t="s">
        <v>89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30">
        <v>0</v>
      </c>
      <c r="P36" s="25" t="s">
        <v>43</v>
      </c>
    </row>
    <row r="37" spans="1:16" ht="22" customHeight="1" x14ac:dyDescent="0.35">
      <c r="A37" s="23">
        <v>36</v>
      </c>
      <c r="B37" s="36" t="s">
        <v>83</v>
      </c>
      <c r="C37" s="25" t="s">
        <v>90</v>
      </c>
      <c r="D37" s="26">
        <v>18</v>
      </c>
      <c r="E37" s="26">
        <v>0</v>
      </c>
      <c r="F37" s="34" t="s">
        <v>42</v>
      </c>
      <c r="G37" s="25" t="s">
        <v>91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30">
        <v>0</v>
      </c>
      <c r="P37" s="25" t="s">
        <v>43</v>
      </c>
    </row>
    <row r="38" spans="1:16" ht="22" customHeight="1" x14ac:dyDescent="0.35">
      <c r="A38" s="23">
        <v>37</v>
      </c>
      <c r="B38" s="37" t="s">
        <v>92</v>
      </c>
      <c r="C38" s="25" t="s">
        <v>93</v>
      </c>
      <c r="D38" s="26">
        <v>14</v>
      </c>
      <c r="E38" s="26">
        <v>21</v>
      </c>
      <c r="F38" s="34" t="s">
        <v>42</v>
      </c>
      <c r="G38" s="25" t="s">
        <v>22</v>
      </c>
      <c r="H38" s="26">
        <v>3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30">
        <v>3</v>
      </c>
      <c r="P38" s="25" t="s">
        <v>43</v>
      </c>
    </row>
    <row r="39" spans="1:16" ht="22" customHeight="1" x14ac:dyDescent="0.35">
      <c r="A39" s="23">
        <v>38</v>
      </c>
      <c r="B39" s="37" t="s">
        <v>92</v>
      </c>
      <c r="C39" s="25" t="s">
        <v>94</v>
      </c>
      <c r="D39" s="26">
        <v>8</v>
      </c>
      <c r="E39" s="26">
        <v>0</v>
      </c>
      <c r="F39" s="34" t="s">
        <v>42</v>
      </c>
      <c r="G39" s="25" t="s">
        <v>95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30">
        <v>0</v>
      </c>
      <c r="P39" s="25" t="s">
        <v>43</v>
      </c>
    </row>
    <row r="40" spans="1:16" ht="22" customHeight="1" x14ac:dyDescent="0.35">
      <c r="A40" s="23">
        <v>39</v>
      </c>
      <c r="B40" s="37" t="s">
        <v>92</v>
      </c>
      <c r="C40" s="25" t="s">
        <v>96</v>
      </c>
      <c r="D40" s="26">
        <v>32</v>
      </c>
      <c r="E40" s="26">
        <v>0</v>
      </c>
      <c r="F40" s="34" t="s">
        <v>42</v>
      </c>
      <c r="G40" s="25" t="s">
        <v>97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30">
        <v>0</v>
      </c>
      <c r="P40" s="25" t="s">
        <v>43</v>
      </c>
    </row>
    <row r="41" spans="1:16" ht="22" customHeight="1" x14ac:dyDescent="0.35">
      <c r="A41" s="23">
        <v>40</v>
      </c>
      <c r="B41" s="37" t="s">
        <v>92</v>
      </c>
      <c r="C41" s="25" t="s">
        <v>98</v>
      </c>
      <c r="D41" s="26">
        <v>12</v>
      </c>
      <c r="E41" s="26">
        <v>0</v>
      </c>
      <c r="F41" s="34" t="s">
        <v>42</v>
      </c>
      <c r="G41" s="25" t="s">
        <v>99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30">
        <v>0</v>
      </c>
      <c r="P41" s="25" t="s">
        <v>43</v>
      </c>
    </row>
    <row r="42" spans="1:16" ht="22" customHeight="1" x14ac:dyDescent="0.35">
      <c r="A42" s="23">
        <v>41</v>
      </c>
      <c r="B42" s="37" t="s">
        <v>92</v>
      </c>
      <c r="C42" s="25" t="s">
        <v>100</v>
      </c>
      <c r="D42" s="26">
        <v>14</v>
      </c>
      <c r="E42" s="26">
        <v>0</v>
      </c>
      <c r="F42" s="34" t="s">
        <v>42</v>
      </c>
      <c r="G42" s="25" t="s">
        <v>65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30">
        <v>0</v>
      </c>
      <c r="P42" s="25" t="s">
        <v>43</v>
      </c>
    </row>
    <row r="43" spans="1:16" ht="22" customHeight="1" x14ac:dyDescent="0.35">
      <c r="A43" s="23">
        <v>42</v>
      </c>
      <c r="B43" s="37" t="s">
        <v>92</v>
      </c>
      <c r="C43" s="25" t="s">
        <v>101</v>
      </c>
      <c r="D43" s="26">
        <v>20</v>
      </c>
      <c r="E43" s="26">
        <v>0</v>
      </c>
      <c r="F43" s="34" t="s">
        <v>42</v>
      </c>
      <c r="G43" s="25" t="s">
        <v>97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30">
        <v>0</v>
      </c>
      <c r="P43" s="25" t="s">
        <v>43</v>
      </c>
    </row>
    <row r="44" spans="1:16" ht="22" customHeight="1" x14ac:dyDescent="0.35">
      <c r="A44" s="23">
        <v>43</v>
      </c>
      <c r="B44" s="37" t="s">
        <v>92</v>
      </c>
      <c r="C44" s="25" t="s">
        <v>102</v>
      </c>
      <c r="D44" s="26">
        <v>16</v>
      </c>
      <c r="E44" s="26">
        <v>0</v>
      </c>
      <c r="F44" s="34" t="s">
        <v>42</v>
      </c>
      <c r="G44" s="25" t="s">
        <v>103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30">
        <v>0</v>
      </c>
      <c r="P44" s="25" t="s">
        <v>43</v>
      </c>
    </row>
    <row r="45" spans="1:16" ht="22" customHeight="1" x14ac:dyDescent="0.35">
      <c r="A45" s="23">
        <v>44</v>
      </c>
      <c r="B45" s="37" t="s">
        <v>92</v>
      </c>
      <c r="C45" s="25" t="s">
        <v>104</v>
      </c>
      <c r="D45" s="26">
        <v>6</v>
      </c>
      <c r="E45" s="26">
        <v>0</v>
      </c>
      <c r="F45" s="34" t="s">
        <v>42</v>
      </c>
      <c r="G45" s="25" t="s">
        <v>65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30">
        <v>0</v>
      </c>
      <c r="P45" s="25" t="s">
        <v>43</v>
      </c>
    </row>
  </sheetData>
  <autoFilter ref="A1:P4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7B5"/>
  </sheetPr>
  <dimension ref="A1:G8"/>
  <sheetViews>
    <sheetView showGridLines="0" workbookViewId="0">
      <selection activeCell="E2" sqref="E2"/>
    </sheetView>
  </sheetViews>
  <sheetFormatPr baseColWidth="10" defaultColWidth="8.7265625" defaultRowHeight="14.5" x14ac:dyDescent="0.35"/>
  <cols>
    <col min="1" max="1" width="28" customWidth="1"/>
    <col min="2" max="2" width="10" customWidth="1"/>
    <col min="3" max="3" width="14" customWidth="1"/>
    <col min="4" max="4" width="12" customWidth="1"/>
    <col min="5" max="5" width="14" customWidth="1"/>
    <col min="6" max="6" width="12" customWidth="1"/>
  </cols>
  <sheetData>
    <row r="1" spans="1:7" ht="26.15" customHeight="1" x14ac:dyDescent="0.35">
      <c r="A1" s="3" t="s">
        <v>1</v>
      </c>
      <c r="B1" s="3" t="s">
        <v>105</v>
      </c>
      <c r="C1" s="3" t="s">
        <v>106</v>
      </c>
      <c r="D1" s="3" t="s">
        <v>3</v>
      </c>
      <c r="E1" s="3" t="s">
        <v>107</v>
      </c>
      <c r="F1" s="3" t="s">
        <v>4</v>
      </c>
    </row>
    <row r="2" spans="1:7" ht="24" customHeight="1" x14ac:dyDescent="0.35">
      <c r="A2" s="4" t="s">
        <v>16</v>
      </c>
      <c r="B2" s="5">
        <f>COUNTIF(Cronograma!B:B,Resumen!A2)</f>
        <v>3</v>
      </c>
      <c r="C2" s="5">
        <f>COUNTIFS(Cronograma!$F$2:$F$1048576,"listo",Cronograma!$B$2:$B$1048576,A2)</f>
        <v>3</v>
      </c>
      <c r="D2" s="5">
        <v>36</v>
      </c>
      <c r="E2" s="5">
        <v>37</v>
      </c>
      <c r="F2" s="39">
        <f>E2/D2</f>
        <v>1.0277777777777777</v>
      </c>
    </row>
    <row r="3" spans="1:7" ht="24" customHeight="1" x14ac:dyDescent="0.35">
      <c r="A3" s="6" t="s">
        <v>27</v>
      </c>
      <c r="B3" s="5">
        <f>COUNTIF(Cronograma!B:B,Resumen!A3)</f>
        <v>13</v>
      </c>
      <c r="C3" s="5">
        <f>COUNTIFS(Cronograma!$F$2:$F$1048576,"listo",Cronograma!$B$2:$B$1048576,A3)</f>
        <v>3</v>
      </c>
      <c r="D3" s="5">
        <v>109</v>
      </c>
      <c r="E3" s="5">
        <v>23</v>
      </c>
      <c r="F3" s="40">
        <f t="shared" ref="F3:F7" si="0">E3/D3</f>
        <v>0.21100917431192662</v>
      </c>
      <c r="G3" s="38"/>
    </row>
    <row r="4" spans="1:7" ht="24" customHeight="1" x14ac:dyDescent="0.35">
      <c r="A4" s="7" t="s">
        <v>54</v>
      </c>
      <c r="B4" s="5">
        <f>COUNTIF(Cronograma!B:B,Resumen!A4)</f>
        <v>12</v>
      </c>
      <c r="C4" s="5">
        <f>COUNTIFS(Cronograma!$F$2:$F$1048576,"listo",Cronograma!$B$2:$B$1048576,A4)</f>
        <v>0</v>
      </c>
      <c r="D4" s="5">
        <v>781</v>
      </c>
      <c r="E4" s="5">
        <v>0</v>
      </c>
      <c r="F4" s="41">
        <f t="shared" si="0"/>
        <v>0</v>
      </c>
    </row>
    <row r="5" spans="1:7" ht="24" customHeight="1" x14ac:dyDescent="0.35">
      <c r="A5" s="8" t="s">
        <v>77</v>
      </c>
      <c r="B5" s="5">
        <f>COUNTIF(Cronograma!B:B,Resumen!A5)</f>
        <v>4</v>
      </c>
      <c r="C5" s="5">
        <f>COUNTIFS(Cronograma!$F$2:$F$1048576,"listo",Cronograma!$B$2:$B$1048576,A5)</f>
        <v>0</v>
      </c>
      <c r="D5" s="5">
        <v>67</v>
      </c>
      <c r="E5" s="5">
        <v>0</v>
      </c>
      <c r="F5" s="42">
        <f t="shared" si="0"/>
        <v>0</v>
      </c>
    </row>
    <row r="6" spans="1:7" ht="24" customHeight="1" x14ac:dyDescent="0.35">
      <c r="A6" s="9" t="s">
        <v>83</v>
      </c>
      <c r="B6" s="5">
        <f>COUNTIF(Cronograma!B:B,Resumen!A6)</f>
        <v>4</v>
      </c>
      <c r="C6" s="5">
        <f>COUNTIFS(Cronograma!$F$2:$F$1048576,"listo",Cronograma!$B$2:$B$1048576,A6)</f>
        <v>1</v>
      </c>
      <c r="D6" s="5">
        <v>63</v>
      </c>
      <c r="E6" s="5">
        <v>0</v>
      </c>
      <c r="F6" s="43">
        <f t="shared" si="0"/>
        <v>0</v>
      </c>
    </row>
    <row r="7" spans="1:7" ht="24" customHeight="1" x14ac:dyDescent="0.35">
      <c r="A7" s="10" t="s">
        <v>92</v>
      </c>
      <c r="B7" s="5">
        <f>COUNTIF(Cronograma!B:B,Resumen!A7)</f>
        <v>8</v>
      </c>
      <c r="C7" s="5">
        <f>COUNTIFS(Cronograma!$F$2:$F$1048576,"listo",Cronograma!$B$2:$B$1048576,A7)</f>
        <v>0</v>
      </c>
      <c r="D7" s="5">
        <v>122</v>
      </c>
      <c r="E7" s="5">
        <v>0</v>
      </c>
      <c r="F7" s="44">
        <f t="shared" si="0"/>
        <v>0</v>
      </c>
    </row>
    <row r="8" spans="1:7" x14ac:dyDescent="0.35">
      <c r="A8" s="11" t="s">
        <v>108</v>
      </c>
      <c r="B8" s="3">
        <f>SUM(B2:B7)</f>
        <v>44</v>
      </c>
      <c r="C8" s="3">
        <f>SUM(C2:C7)</f>
        <v>7</v>
      </c>
      <c r="D8" s="3">
        <v>1178</v>
      </c>
      <c r="E8" s="3">
        <v>60</v>
      </c>
      <c r="F8" s="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7D1E"/>
  </sheetPr>
  <dimension ref="A1:E8"/>
  <sheetViews>
    <sheetView workbookViewId="0"/>
  </sheetViews>
  <sheetFormatPr baseColWidth="10" defaultColWidth="8.7265625" defaultRowHeight="14.5" x14ac:dyDescent="0.35"/>
  <cols>
    <col min="1" max="1" width="22" customWidth="1"/>
    <col min="2" max="2" width="8" customWidth="1"/>
    <col min="3" max="3" width="14" customWidth="1"/>
    <col min="4" max="4" width="18" customWidth="1"/>
    <col min="5" max="5" width="14" customWidth="1"/>
  </cols>
  <sheetData>
    <row r="1" spans="1:5" x14ac:dyDescent="0.35">
      <c r="A1" s="3" t="s">
        <v>109</v>
      </c>
      <c r="B1" s="3" t="s">
        <v>110</v>
      </c>
      <c r="C1" s="3" t="s">
        <v>111</v>
      </c>
      <c r="D1" s="3" t="s">
        <v>112</v>
      </c>
      <c r="E1" s="3" t="s">
        <v>107</v>
      </c>
    </row>
    <row r="2" spans="1:5" ht="22" customHeight="1" x14ac:dyDescent="0.35">
      <c r="A2" s="12" t="s">
        <v>113</v>
      </c>
      <c r="B2" s="5" t="s">
        <v>114</v>
      </c>
      <c r="C2" s="5" t="s">
        <v>115</v>
      </c>
      <c r="D2" s="5">
        <v>29</v>
      </c>
      <c r="E2" s="2">
        <v>14</v>
      </c>
    </row>
    <row r="3" spans="1:5" ht="22" customHeight="1" x14ac:dyDescent="0.35">
      <c r="A3" s="12" t="s">
        <v>29</v>
      </c>
      <c r="B3" s="5" t="s">
        <v>114</v>
      </c>
      <c r="C3" s="5" t="s">
        <v>116</v>
      </c>
      <c r="D3" s="5">
        <v>21</v>
      </c>
      <c r="E3" s="2">
        <v>10</v>
      </c>
    </row>
    <row r="4" spans="1:5" ht="22" customHeight="1" x14ac:dyDescent="0.35">
      <c r="A4" s="12" t="s">
        <v>117</v>
      </c>
      <c r="B4" s="5" t="s">
        <v>114</v>
      </c>
      <c r="C4" s="5" t="s">
        <v>118</v>
      </c>
      <c r="D4" s="5">
        <v>8</v>
      </c>
      <c r="E4" s="5">
        <v>0</v>
      </c>
    </row>
    <row r="5" spans="1:5" ht="22" customHeight="1" x14ac:dyDescent="0.35">
      <c r="A5" s="12" t="s">
        <v>32</v>
      </c>
      <c r="B5" s="5" t="s">
        <v>119</v>
      </c>
      <c r="C5" s="5" t="s">
        <v>120</v>
      </c>
      <c r="D5" s="5">
        <v>22</v>
      </c>
      <c r="E5" s="2">
        <v>17</v>
      </c>
    </row>
    <row r="6" spans="1:5" ht="22" customHeight="1" x14ac:dyDescent="0.35">
      <c r="A6" s="12" t="s">
        <v>121</v>
      </c>
      <c r="B6" s="5" t="s">
        <v>122</v>
      </c>
      <c r="C6" s="5" t="s">
        <v>120</v>
      </c>
      <c r="D6" s="5">
        <v>10</v>
      </c>
      <c r="E6" s="2">
        <v>7</v>
      </c>
    </row>
    <row r="7" spans="1:5" ht="22" customHeight="1" x14ac:dyDescent="0.35">
      <c r="A7" s="12" t="s">
        <v>48</v>
      </c>
      <c r="B7" s="5" t="s">
        <v>123</v>
      </c>
      <c r="C7" s="5" t="s">
        <v>124</v>
      </c>
      <c r="D7" s="5">
        <v>14</v>
      </c>
      <c r="E7" s="2">
        <v>9</v>
      </c>
    </row>
    <row r="8" spans="1:5" ht="22" customHeight="1" x14ac:dyDescent="0.35">
      <c r="A8" s="12" t="s">
        <v>125</v>
      </c>
      <c r="B8" s="5" t="s">
        <v>126</v>
      </c>
      <c r="C8" s="5" t="s">
        <v>127</v>
      </c>
      <c r="D8" s="5">
        <v>5</v>
      </c>
      <c r="E8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Resumen</vt:lpstr>
      <vt:lpstr>Equipo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Aaron Mayorga</cp:lastModifiedBy>
  <cp:revision/>
  <dcterms:created xsi:type="dcterms:W3CDTF">2026-04-24T15:46:14Z</dcterms:created>
  <dcterms:modified xsi:type="dcterms:W3CDTF">2026-07-13T17:14:16Z</dcterms:modified>
  <cp:category/>
  <cp:contentStatus/>
</cp:coreProperties>
</file>