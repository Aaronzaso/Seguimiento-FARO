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39ab482fd14a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onograma" sheetId="1" r:id="R911358ed604f4c64"/>
    <x:sheet xmlns:r="http://schemas.openxmlformats.org/officeDocument/2006/relationships" name="Resumen" sheetId="2" r:id="R289b5d1892e942b1"/>
    <x:sheet xmlns:r="http://schemas.openxmlformats.org/officeDocument/2006/relationships" name="Equipo" sheetId="3" r:id="R359708b83d7a469b"/>
    <x:sheet xmlns:r="http://schemas.openxmlformats.org/officeDocument/2006/relationships" name="Histórico avance" sheetId="4" r:id="R117903256103401f"/>
    <x:sheet xmlns:r="http://schemas.openxmlformats.org/officeDocument/2006/relationships" name="Auditoría" sheetId="5" r:id="R4f30f7e74de642a9"/>
    <x:sheet xmlns:r="http://schemas.openxmlformats.org/officeDocument/2006/relationships" name="Evidencia horas" sheetId="6" r:id="R233710655dea4ccb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<x:sst xmlns:x="http://schemas.openxmlformats.org/spreadsheetml/2006/main">
  <x:si>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</x:si>
  <x:si>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Fase</x:t>
  </x:si>
  <x:si>
    <x:t xml:space="preserve">Tarea</x:t>
  </x:si>
  <x:si>
    <x:t xml:space="preserve">Horas Plan</x:t>
  </x:si>
  <x:si>
    <x:t xml:space="preserve">Avance %</x:t>
  </x:si>
  <x:si>
    <x:t xml:space="preserve">Estado</x:t>
  </x:si>
  <x:si>
    <x:t xml:space="preserve">Responsables</x:t>
  </x:si>
  <x:si>
    <x:t xml:space="preserve">Horas Luis Montero</x:t>
  </x:si>
  <x:si>
    <x:t xml:space="preserve">Horas Aarón Mayorga</x:t>
  </x:si>
  <x:si>
    <x:t xml:space="preserve">Horas Luis Martínez</x:t>
  </x:si>
  <x:si>
    <x:t xml:space="preserve">Horas Daniel Pulido</x:t>
  </x:si>
  <x:si>
    <x:t xml:space="preserve">Horas Karol</x:t>
  </x:si>
  <x:si>
    <x:t xml:space="preserve">Horas Jorge Jiménez</x:t>
  </x:si>
  <x:si>
    <x:t xml:space="preserve">Horas Kenneth</x:t>
  </x:si>
  <x:si>
    <x:t xml:space="preserve">Total Horas Reales</x:t>
  </x:si>
  <x:si>
    <x:t xml:space="preserve">Notas</x:t>
  </x:si>
  <x:si>
    <x:t xml:space="preserve">Levantamiento</x:t>
  </x:si>
  <x:si>
    <x:t xml:space="preserve">Reunión de levantamiento funcional</x:t>
  </x:si>
  <x:si>
    <x:t xml:space="preserve">Listo</x:t>
  </x:si>
  <x:si>
    <x:t xml:space="preserve">Aarón Mayorga, Luis Martínez</x:t>
  </x:si>
  <x:si>
    <x:t xml:space="preserve">Completada sin novedades</x:t>
  </x:si>
  <x:si>
    <x:t xml:space="preserve">Elaboración de doc. de requerimientos</x:t>
  </x:si>
  <x:si>
    <x:t xml:space="preserve">Luis Montero, Aarón Mayorga, Karol</x:t>
  </x:si>
  <x:si>
    <x:t xml:space="preserve">AM realizó requerimientos / LMM revisión</x:t>
  </x:si>
  <x:si>
    <x:t xml:space="preserve">Sesión de evacuación de dudas</x:t>
  </x:si>
  <x:si>
    <x:t xml:space="preserve">Karol, Jorge Jiménez, Luis Montero</x:t>
  </x:si>
  <x:si>
    <x:t xml:space="preserve">Dudas PRE-REGISTRO / Responsabilidad</x:t>
  </x:si>
  <x:si>
    <x:t xml:space="preserve">Diseño</x:t>
  </x:si>
  <x:si>
    <x:t xml:space="preserve">Doc. Diseño de Arquitectura</x:t>
  </x:si>
  <x:si>
    <x:t xml:space="preserve">Aarón Mayorga</x:t>
  </x:si>
  <x:si>
    <x:t xml:space="preserve">30</x:t>
  </x:si>
  <x:si>
    <x:t xml:space="preserve">Documentar Arquitectura lógica</x:t>
  </x:si>
  <x:si>
    <x:t xml:space="preserve">En curso</x:t>
  </x:si>
  <x:si>
    <x:t xml:space="preserve">Arquitectura lógica alineada al contexto canónico y al monolito modular; pendiente cierre formal. Equipo del avance: Aarón Mayorga 0.9 h y Luis Martínez 0.9 h. Corte 14/07–04/08 (GitHub): Aarón 0.0 h; Luis Martínez 1.0 h.</x:t>
  </x:si>
  <x:si>
    <x:t xml:space="preserve">Documentar Arquitectura física</x:t>
  </x:si>
  <x:si>
    <x:t xml:space="preserve">Daniel Pulido</x:t>
  </x:si>
  <x:si>
    <x:t xml:space="preserve">🟢 Reutilizable</x:t>
  </x:si>
  <x:si>
    <x:t xml:space="preserve">Documentar Pipeline CI/CD</x:t>
  </x:si>
  <x:si>
    <x:t xml:space="preserve">Documentar Diseño modular</x:t>
  </x:si>
  <x:si>
    <x:t xml:space="preserve">Arquitectura modular documentada y aplicada; pendiente cierre formal. Equipo del avance: Aarón Mayorga 0.5 h y Luis Martínez 0.5 h. Corte 14/07–04/08 (GitHub): Aarón 3.0 h; Luis Martínez 1.0 h.</x:t>
  </x:si>
  <x:si>
    <x:t xml:space="preserve">Documentar Seguridad en el diseño</x:t>
  </x:si>
  <x:si>
    <x:t xml:space="preserve">BFF, passwordless externo, capacidades y alcance reforzados; pendiente revisión final. Equipo del avance: Aarón Mayorga 0.7 h y Luis Martínez 0.7 h. Corte 14/07–04/08 (GitHub): Aarón 3.0 h; Luis Martínez 2.0 h.</x:t>
  </x:si>
  <x:si>
    <x:t xml:space="preserve">Modelo de datos lógico (BD)</x:t>
  </x:si>
  <x:si>
    <x:t xml:space="preserve">Diseño de APIs (contratos)</x:t>
  </x:si>
  <x:si>
    <x:t xml:space="preserve">Configuración de repositorio</x:t>
  </x:si>
  <x:si>
    <x:t xml:space="preserve">Corte 14/07–04/08 (GitHub): Aarón 2.0 h; Luis Martínez 1.0 h.</x:t>
  </x:si>
  <x:si>
    <x:t xml:space="preserve">Config. ambiente de desarrollo</x:t>
  </x:si>
  <x:si>
    <x:t xml:space="preserve">Config. herramientas y frameworks</x:t>
  </x:si>
  <x:si>
    <x:t xml:space="preserve">Daniel Pulido, Luis Montero</x:t>
  </x:si>
  <x:si>
    <x:t xml:space="preserve">Corte 14/07–04/08 (GitHub): Aarón 2.0 h; Luis Martínez 2.0 h.</x:t>
  </x:si>
  <x:si>
    <x:t xml:space="preserve">Config. ambiente de pruebas</x:t>
  </x:si>
  <x:si>
    <x:t xml:space="preserve">Automatización CI/CD</x:t>
  </x:si>
  <x:si>
    <x:t xml:space="preserve">Desarrollo</x:t>
  </x:si>
  <x:si>
    <x:t xml:space="preserve">Config. modelo de datos (Tablas, llaves)</x:t>
  </x:si>
  <x:si>
    <x:t xml:space="preserve">Esquema canónico, llaves y restricciones de pre-registro/GTRS implementados; pendientes de waves posteriores. Equipo del avance: Aarón Mayorga 3.3 h y Luis Martínez 3.3 h. Corte 14/07–04/08 (GitHub): Aarón 1.0 h; Luis Martínez 7.0 h. Actualización 27/08: Tablas, llaves, catálogos, read models, snapshot de renovación, rol único y persistencia de observaciones integrados para el alcance actual. Horas estimadas del corte: Aarón 0.6 h; Luis Martínez 0.8 h.</x:t>
  </x:si>
  <x:si>
    <x:t xml:space="preserve">Stored Procedures y Funciones</x:t>
  </x:si>
  <x:si>
    <x:t xml:space="preserve">Implementación de triggers</x:t>
  </x:si>
  <x:si>
    <x:t xml:space="preserve">Implementación de RBAC</x:t>
  </x:si>
  <x:si>
    <x:t xml:space="preserve">Módulo de Administración</x:t>
  </x:si>
  <x:si>
    <x:t xml:space="preserve">Módulo Formulario GTRS</x:t>
  </x:si>
  <x:si>
    <x:t xml:space="preserve">Módulo Revisión de GTRS</x:t>
  </x:si>
  <x:si>
    <x:t xml:space="preserve">Módulo Portal de Captura</x:t>
  </x:si>
  <x:si>
    <x:t xml:space="preserve">Módulo Portal Interno</x:t>
  </x:si>
  <x:si>
    <x:t xml:space="preserve">Módulo Formulario Aseguramiento</x:t>
  </x:si>
  <x:si>
    <x:t xml:space="preserve">Módulo Revisión Aseguramiento</x:t>
  </x:si>
  <x:si>
    <x:t xml:space="preserve">Doc. especificaciones de dev.</x:t>
  </x:si>
  <x:si>
    <x:t xml:space="preserve">Pruebas</x:t>
  </x:si>
  <x:si>
    <x:t xml:space="preserve">Plan de pruebas</x:t>
  </x:si>
  <x:si>
    <x:t xml:space="preserve">Pruebas UAT Ciclo 1</x:t>
  </x:si>
  <x:si>
    <x:t xml:space="preserve">Pendiente</x:t>
  </x:si>
  <x:si>
    <x:t xml:space="preserve">Karol, Daniel Pulido, Luis Montero, Jorge Jiménez</x:t>
  </x:si>
  <x:si>
    <x:t xml:space="preserve">Corrección ciclo 1</x:t>
  </x:si>
  <x:si>
    <x:t xml:space="preserve">Daniel Pulido, Aarón Mayorga, Luis Montero</x:t>
  </x:si>
  <x:si>
    <x:t xml:space="preserve">Pruebas UAT Ciclo 2</x:t>
  </x:si>
  <x:si>
    <x:t xml:space="preserve">Impl. y Transferencia</x:t>
  </x:si>
  <x:si>
    <x:t xml:space="preserve">Impl. ambiente productivo</x:t>
  </x:si>
  <x:si>
    <x:t xml:space="preserve">Guía de despliegue</x:t>
  </x:si>
  <x:si>
    <x:t xml:space="preserve">Manual operativo</x:t>
  </x:si>
  <x:si>
    <x:t xml:space="preserve">Daniel Pulido, Luis Montero, Kenneth</x:t>
  </x:si>
  <x:si>
    <x:t xml:space="preserve">Doc. de estabilización</x:t>
  </x:si>
  <x:si>
    <x:t xml:space="preserve">Luis Montero, Aarón Mayorga, Kenneth</x:t>
  </x:si>
  <x:si>
    <x:t xml:space="preserve">Migración de Datos</x:t>
  </x:si>
  <x:si>
    <x:t xml:space="preserve">Análisis y Mapeo de Datos (CSV)</x:t>
  </x:si>
  <x:si>
    <x:t xml:space="preserve">Exportación CSV desde SharePoint</x:t>
  </x:si>
  <x:si>
    <x:t xml:space="preserve">Karol, Kenneth</x:t>
  </x:si>
  <x:si>
    <x:t xml:space="preserve">Script Python: ETL</x:t>
  </x:si>
  <x:si>
    <x:t xml:space="preserve">Aarón Mayorga, Luis Montero</x:t>
  </x:si>
  <x:si>
    <x:t xml:space="preserve">Revisión por Independencia</x:t>
  </x:si>
  <x:si>
    <x:t xml:space="preserve">Karol, Luis Montero</x:t>
  </x:si>
  <x:si>
    <x:t xml:space="preserve">Carga a Supabase</x:t>
  </x:si>
  <x:si>
    <x:t xml:space="preserve">Luis Montero, Aarón Mayorga</x:t>
  </x:si>
  <x:si>
    <x:t xml:space="preserve">Migración Archivos PDF</x:t>
  </x:si>
  <x:si>
    <x:t xml:space="preserve">Validación de Integridad</x:t>
  </x:si>
  <x:si>
    <x:t xml:space="preserve">Karol, Aarón Mayorga</x:t>
  </x:si>
  <x:si>
    <x:t xml:space="preserve">Doc. Proceso de Migración</x:t>
  </x:si>
  <x:si>
    <x:t xml:space="preserve">Tareas</x:t>
  </x:si>
  <x:si>
    <x:t xml:space="preserve">Completadas</x:t>
  </x:si>
  <x:si>
    <x:t xml:space="preserve">Horas Reales</x:t>
  </x:si>
  <x:si>
    <x:t xml:space="preserve">Nombre</x:t>
  </x:si>
  <x:si>
    <x:t xml:space="preserve">Rol</x:t>
  </x:si>
  <x:si>
    <x:t xml:space="preserve">Dedicación</x:t>
  </x:si>
  <x:si>
    <x:t xml:space="preserve">Tareas Asignadas</x:t>
  </x:si>
  <x:si>
    <x:t xml:space="preserve">Luis Montero</x:t>
  </x:si>
  <x:si>
    <x:t xml:space="preserve">DEV</x:t>
  </x:si>
  <x:si>
    <x:t xml:space="preserve">50%</x:t>
  </x:si>
  <x:si>
    <x:t xml:space="preserve">75%</x:t>
  </x:si>
  <x:si>
    <x:t xml:space="preserve">Luis Martínez</x:t>
  </x:si>
  <x:si>
    <x:t xml:space="preserve">45%</x:t>
  </x:si>
  <x:si>
    <x:t xml:space="preserve">ARQ</x:t>
  </x:si>
  <x:si>
    <x:t xml:space="preserve">30%</x:t>
  </x:si>
  <x:si>
    <x:t xml:space="preserve">Karol</x:t>
  </x:si>
  <x:si>
    <x:t xml:space="preserve">AF</x:t>
  </x:si>
  <x:si>
    <x:t xml:space="preserve">Jorge Jiménez</x:t>
  </x:si>
  <x:si>
    <x:t xml:space="preserve">PM</x:t>
  </x:si>
  <x:si>
    <x:t xml:space="preserve">40%</x:t>
  </x:si>
  <x:si>
    <x:t xml:space="preserve">Kenneth</x:t>
  </x:si>
  <x:si>
    <x:t xml:space="preserve">ATI</x:t>
  </x:si>
  <x:si>
    <x:t xml:space="preserve">10%</x:t>
  </x:si>
  <x:si>
    <x:t xml:space="preserve">Fecha del corte</x:t>
  </x:si>
  <x:si>
    <x:t xml:space="preserve">Avance general</x:t>
  </x:si>
  <x:si>
    <x:t xml:space="preserve">Impl. y transferencia</x:t>
  </x:si>
  <x:si>
    <x:t xml:space="preserve">Migración de datos</x:t>
  </x:si>
  <x:si>
    <x:t xml:space="preserve">Rama revisada</x:t>
  </x:si>
  <x:si>
    <x:t xml:space="preserve">Commit</x:t>
  </x:si>
  <x:si>
    <x:t xml:space="preserve">Notas / evidencia</x:t>
  </x:si>
  <x:si>
    <x:t xml:space="preserve">main</x:t>
  </x:si>
  <x:si>
    <x:t xml:space="preserve">31ecaf5..95a1b5b</x:t>
  </x:si>
  <x:si>
    <x:t xml:space="preserve">Corte 14/07–04/08 validado contra GitHub: 364 commits (355 sin merge + 9 merges), 443 archivos modificados y 16 días-persona activos. Estimación conservadora de 128.0 h omitidas: Aarón 56.0 h y Luis Martínez 72.0 h, a 8 h por día activo y distribuidas por entregable. Evidencia: https://github.com/Grant-Thornton-Costa-Rica/FARO/compare/31ecaf5...95a1b5b</x:t>
  </x:si>
  <x:si>
    <x:t xml:space="preserve">fdbea06</x:t>
  </x:si>
  <x:si>
    <x:t xml:space="preserve">Corte validado sobre FARO main@fdbea06. Pre-registro full-stack integrado dentro de Administrativo: creación, bandeja, invitación/reenvío/revocación, aceptación passwordless, auditoría, idempotencia y alcance global Riesgo/Admin. También se reconoce el cierre backend GTRS de 8 secciones con ETag y gate de completitud. Pendientes principales: integración vertical del frontend GTRS, aprovisionamiento Microsoft/Entra y UAT. Horas del avance redistribuidas: 260.0 h totales, 130.0 h Aarón Mayorga y 130.0 h Luis Martínez; sin participación de Daniel Pulido, Luis Montero, Karol ni Jorge Jiménez en las tareas que avanzaron. Acumulado al 13/08: 655.0 h = 267.0 h de línea base al 13/07 + 128.0 h estimadas del corte 04/08 + 260.0 h del corte 13/08.</x:t>
  </x:si>
  <x:si>
    <x:t xml:space="preserve">fdbea06..436667f</x:t>
  </x:si>
  <x:si>
    <x:t xml:space="preserve">Corte 14/08–27/08 validado sobre FARO main@436667f (base fdbea06): 108 commits, 367 archivos modificados y 22 días-persona. Formulario GTRS canónico integrado de extremo a extremo, flujo externo multi-GTRS y Magic Link, Home interno por rol y alcance, catálogos y snapshots, rollout remoto Release A y backend inicial de revisión de Riesgo (observaciones, lecturas e inicio). Pendientes: operaciones completas de revisión, Release B y cinco migraciones de completitud, Microsoft/Entra, UAT y despliegue productivo integral. Horas estimadas: 176.0 h (Aarón 72.0 h; Luis Martínez 104.0 h), a 8 h por día activo; acumulado 831.0 h. Avance general 60.3%.</x:t>
  </x:si>
  <x:si>
    <x:t xml:space="preserve">ID de operación</x:t>
  </x:si>
  <x:si>
    <x:t xml:space="preserve">Fecha y hora UTC</x:t>
  </x:si>
  <x:si>
    <x:t xml:space="preserve">Usuario ID</x:t>
  </x:si>
  <x:si>
    <x:t xml:space="preserve">Usuario</x:t>
  </x:si>
  <x:si>
    <x:t xml:space="preserve">Acción</x:t>
  </x:si>
  <x:si>
    <x:t xml:space="preserve">Archivo</x:t>
  </x:si>
  <x:si>
    <x:t xml:space="preserve">Versión base</x:t>
  </x:si>
  <x:si>
    <x:t xml:space="preserve">01a0437e-6b05-7f42-a15a-e9a58c829943-20260827</x:t>
  </x:si>
  <x:si>
    <x:t xml:space="preserve">2026-08-27T14:19:12.936Z</x:t>
  </x:si>
  <x:si>
    <x:t xml:space="preserve">2026-08-27</x:t>
  </x:si>
  <x:si>
    <x:t xml:space="preserve">aaron</x:t>
  </x:si>
  <x:si>
    <x:t xml:space="preserve">Actualización manual asistida por Codex</x:t>
  </x:si>
  <x:si>
    <x:t xml:space="preserve">FARO_Cronograma_2026-08-27.xlsx</x:t>
  </x:si>
  <x:si>
    <x:t xml:space="preserve">Seguimiento f5bad43 / FARO fdbea06..436667f</x:t>
  </x:si>
  <x:si>
    <x:t xml:space="preserve">Estimación de horas omitidas · Corte 14/07–04/08/2026</x:t>
  </x:si>
  <x:si>
    <x:t xml:space="preserve">Rango Git</x:t>
  </x:si>
  <x:si>
    <x:t xml:space="preserve">Fuente GitHub</x:t>
  </x:si>
  <x:si>
    <x:t xml:space="preserve">https://github.com/Grant-Thornton-Costa-Rica/FARO/compare/31ecaf5...95a1b5b</x:t>
  </x:si>
  <x:si>
    <x:t xml:space="preserve">Commits totales</x:t>
  </x:si>
  <x:si>
    <x:t xml:space="preserve">Commits sin merge</x:t>
  </x:si>
  <x:si>
    <x:t xml:space="preserve">Merges</x:t>
  </x:si>
  <x:si>
    <x:t xml:space="preserve">Archivos modificados</x:t>
  </x:si>
  <x:si>
    <x:t xml:space="preserve">Inserciones / eliminaciones</x:t>
  </x:si>
  <x:si>
    <x:t xml:space="preserve">84,623 / 5,354</x:t>
  </x:si>
  <x:si>
    <x:t xml:space="preserve">Método</x:t>
  </x:si>
  <x:si>
    <x:t xml:space="preserve">8 horas por día-persona activo; contraste con entregables y cambios del repositorio.</x:t>
  </x:si>
  <x:si>
    <x:t xml:space="preserve">Persona</x:t>
  </x:si>
  <x:si>
    <x:t xml:space="preserve">Commits</x:t>
  </x:si>
  <x:si>
    <x:t xml:space="preserve">Días activos</x:t>
  </x:si>
  <x:si>
    <x:t xml:space="preserve">Horas/día</x:t>
  </x:si>
  <x:si>
    <x:t xml:space="preserve">Horas estimadas</x:t>
  </x:si>
  <x:si>
    <x:t xml:space="preserve">Total</x:t>
  </x:si>
  <x:si>
    <x:t xml:space="preserve">Criterio: los commits prueban actividad y alcance, pero no se convierten individualmente en horas. La estimación usa días-persona activos y se distribuye entre tareas con entregables verificables. No se atribuyeron horas del intervalo a personas sin commits.</x:t>
  </x:si>
  <x:si>
    <x:t xml:space="preserve">Componente acumulado</x:t>
  </x:si>
  <x:si>
    <x:t xml:space="preserve">Aarón</x:t>
  </x:si>
  <x:si>
    <x:t xml:space="preserve">Otros históricos</x:t>
  </x:si>
  <x:si>
    <x:t xml:space="preserve">Línea base al 13/07</x:t>
  </x:si>
  <x:si>
    <x:t xml:space="preserve">Horas omitidas del corte 04/08</x:t>
  </x:si>
  <x:si>
    <x:t xml:space="preserve">Horas del corte 13/08</x:t>
  </x:si>
  <x:si>
    <x:t xml:space="preserve">Horas del corte 27/08</x:t>
  </x:si>
  <x:si>
    <x:t xml:space="preserve">Evidencia de horas · Corte 14/08–27/08/2026</x:t>
  </x:si>
  <x:si>
    <x:t xml:space="preserve">https://github.com/Grant-Thornton-Costa-Rica/FARO/compare/fdbea06...436667f</x:t>
  </x:si>
  <x:si>
    <x:t xml:space="preserve">75,218 / 13,353</x:t>
  </x:si>
  <x:si>
    <x:t xml:space="preserve">8 horas por día-persona activo; contraste con entregables, pruebas y cambios del repositorio.</x:t>
  </x:si>
  <x:si>
    <x:t xml:space="preserve">Criterio: los commits prueban actividad y alcance, pero no se convierten individualmente en horas. La estimación usa días-persona activos y distribuye 176.0 h proporcionalmente al incremento de esfuerzo planificado de las 16 tareas con entregables verificables. No se atribuyeron horas del intervalo a personas sin commits.</x:t>
  </x:si>
</x:sst>
</file>

<file path=xl/styles.xml><?xml version="1.0" encoding="utf-8"?>
<x:styleSheet xmlns:x="http://schemas.openxmlformats.org/spreadsheetml/2006/main">
  <x:numFmts count="4">
    <x:numFmt numFmtId="165" formatCode="dd/mm/yyyy"/>
    <x:numFmt numFmtId="166" formatCode="0.0%"/>
    <x:numFmt numFmtId="167" formatCode="0.0"/>
    <x:numFmt numFmtId="200" formatCode="@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167" fontId="0" fillId="0" borderId="0" xfId="0" applyNumberFormat="1"/>
    <x:xf numFmtId="0" fontId="0" fillId="0" borderId="0" xfId="0"/>
    <x:xf numFmtId="0" fontId="0" fillId="0" borderId="0" xfId="0" applyAlignment="1">
      <x:alignment vertical="top" wrapText="1"/>
    </x:xf>
    <x:xf numFmtId="0" fontId="0" fillId="0" borderId="0" xfId="0" applyAlignment="1">
      <x:alignment vertical="top"/>
    </x:xf>
    <x:xf numFmtId="167" fontId="0" fillId="0" borderId="0" xfId="0" applyNumberFormat="1" applyAlignment="1">
      <x:alignment vertical="top"/>
    </x:xf>
    <x:xf numFmtId="165" fontId="0" fillId="0" borderId="0" xfId="0" applyNumberFormat="1" applyAlignment="1">
      <x:alignment vertical="top"/>
    </x:xf>
    <x:xf numFmtId="166" fontId="0" fillId="0" borderId="0" xfId="0" applyNumberFormat="1" applyAlignment="1">
      <x:alignment vertical="top"/>
    </x:xf>
    <x:xf numFmtId="0" fontId="0" fillId="0" borderId="0" xfId="0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167" fontId="0" fillId="0" borderId="0" xfId="0" applyNumberFormat="1" applyFont="1" applyFill="1" applyBorder="1" applyAlignment="1">
      <x:alignment vertical="top"/>
    </x:xf>
    <x:xf numFmtId="165" fontId="0" fillId="0" borderId="0" xfId="0" applyNumberFormat="1" applyFont="1" applyFill="1" applyBorder="1"/>
    <x:xf numFmtId="166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165" fontId="0" fillId="0" borderId="0" xfId="0" applyNumberFormat="1" applyFont="1" applyFill="1" applyBorder="1" applyAlignment="1">
      <x:alignment vertical="top"/>
    </x:xf>
    <x:xf numFmtId="166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2166f7e9bf4098" /><Relationship Type="http://schemas.openxmlformats.org/officeDocument/2006/relationships/theme" Target="/xl/theme/theme1.xml" Id="R68931327e1764863" /><Relationship Type="http://schemas.openxmlformats.org/officeDocument/2006/relationships/sharedStrings" Target="/xl/sharedStrings.xml" Id="Rff9a7603ac9c490c" /><Relationship Type="http://schemas.openxmlformats.org/officeDocument/2006/relationships/worksheet" Target="/xl/worksheets/sheet1.xml" Id="R911358ed604f4c64" /><Relationship Type="http://schemas.openxmlformats.org/officeDocument/2006/relationships/worksheet" Target="/xl/worksheets/sheet2.xml" Id="R289b5d1892e942b1" /><Relationship Type="http://schemas.openxmlformats.org/officeDocument/2006/relationships/worksheet" Target="/xl/worksheets/sheet3.xml" Id="R359708b83d7a469b" /><Relationship Type="http://schemas.openxmlformats.org/officeDocument/2006/relationships/worksheet" Target="/xl/worksheets/sheet4.xml" Id="R117903256103401f" /><Relationship Type="http://schemas.openxmlformats.org/officeDocument/2006/relationships/worksheet" Target="/xl/worksheets/sheet5.xml" Id="R4f30f7e74de642a9" /><Relationship Type="http://schemas.openxmlformats.org/officeDocument/2006/relationships/worksheet" Target="/xl/worksheets/sheet6.xml" Id="R233710655dea4cc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hyperlink" Target="https://github.com/Grant-Thornton-Costa-Rica/FARO/compare/fdbea06...436667f" TargetMode="External" Id="R8d8fe215f37a4093" /></Relationships>
</file>

<file path=xl/worksheets/sheet1.xml><?xml version="1.0" encoding="utf-8"?>
<x:worksheet xmlns:x="http://schemas.openxmlformats.org/spreadsheetml/2006/main">
  <x:sheetFormatPr baseColWidth="10" defaultRowHeight="14.5"/>
  <x:cols>
    <x:col min="1" max="1" width="4.83203125" customWidth="1"/>
    <x:col min="2" max="2" width="22.83203125" customWidth="1"/>
    <x:col min="3" max="3" width="42.83203125" customWidth="1"/>
    <x:col min="4" max="4" width="11.83203125" customWidth="1"/>
    <x:col min="5" max="6" width="10.83203125" customWidth="1"/>
    <x:col min="7" max="7" width="35.83203125" customWidth="1"/>
    <x:col min="8" max="14" width="14.83203125" customWidth="1"/>
    <x:col min="15" max="15" width="16.83203125" customWidth="1"/>
    <x:col min="16" max="16" width="58" customWidth="1"/>
  </x:cols>
  <x:sheetData>
    <x:row r="1" ht="15.5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</x:row>
    <x:row r="2" ht="30" customHeight="1">
      <x:c r="A2">
        <x:v>1</x:v>
      </x:c>
      <x:c r="B2" t="s">
        <x:v>16</x:v>
      </x:c>
      <x:c r="C2" s="3" t="s">
        <x:v>17</x:v>
      </x:c>
      <x:c r="D2" s="4">
        <x:v>12</x:v>
      </x:c>
      <x:c r="E2" s="4">
        <x:v>100</x:v>
      </x:c>
      <x:c r="F2" s="4" t="s">
        <x:v>18</x:v>
      </x:c>
      <x:c r="G2" s="3" t="s">
        <x:v>19</x:v>
      </x:c>
      <x:c r="H2" s="5">
        <x:v>0</x:v>
      </x:c>
      <x:c r="I2" s="5">
        <x:v>12</x:v>
      </x:c>
      <x:c r="J2" s="5">
        <x:v>12</x:v>
      </x:c>
      <x:c r="K2" s="5">
        <x:v>0</x:v>
      </x:c>
      <x:c r="L2" s="5">
        <x:v>0</x:v>
      </x:c>
      <x:c r="M2" s="5">
        <x:v>0</x:v>
      </x:c>
      <x:c r="N2" s="5">
        <x:v>0</x:v>
      </x:c>
      <x:c r="O2" s="5">
        <x:v>24</x:v>
      </x:c>
      <x:c r="P2" s="3" t="s">
        <x:v>20</x:v>
      </x:c>
    </x:row>
    <x:row r="3" ht="30" customHeight="1">
      <x:c r="A3">
        <x:v>2</x:v>
      </x:c>
      <x:c r="B3" t="s">
        <x:v>16</x:v>
      </x:c>
      <x:c r="C3" s="3" t="s">
        <x:v>21</x:v>
      </x:c>
      <x:c r="D3" s="4">
        <x:v>18</x:v>
      </x:c>
      <x:c r="E3" s="4">
        <x:v>100</x:v>
      </x:c>
      <x:c r="F3" s="4" t="s">
        <x:v>18</x:v>
      </x:c>
      <x:c r="G3" s="3" t="s">
        <x:v>22</x:v>
      </x:c>
      <x:c r="H3" s="5">
        <x:v>0</x:v>
      </x:c>
      <x:c r="I3" s="5">
        <x:v>30</x:v>
      </x:c>
      <x:c r="J3" s="5">
        <x:v>0</x:v>
      </x:c>
      <x:c r="K3" s="5">
        <x:v>0</x:v>
      </x:c>
      <x:c r="L3" s="5">
        <x:v>5</x:v>
      </x:c>
      <x:c r="M3" s="5">
        <x:v>0</x:v>
      </x:c>
      <x:c r="N3" s="5">
        <x:v>0</x:v>
      </x:c>
      <x:c r="O3" s="5">
        <x:v>35</x:v>
      </x:c>
      <x:c r="P3" s="3" t="s">
        <x:v>23</x:v>
      </x:c>
    </x:row>
    <x:row r="4" ht="30" customHeight="1">
      <x:c r="A4">
        <x:v>3</x:v>
      </x:c>
      <x:c r="B4" t="s">
        <x:v>16</x:v>
      </x:c>
      <x:c r="C4" s="3" t="s">
        <x:v>24</x:v>
      </x:c>
      <x:c r="D4" s="4">
        <x:v>6</x:v>
      </x:c>
      <x:c r="E4" s="4">
        <x:v>100</x:v>
      </x:c>
      <x:c r="F4" s="4" t="s">
        <x:v>18</x:v>
      </x:c>
      <x:c r="G4" s="3" t="s">
        <x:v>25</x:v>
      </x:c>
      <x:c r="H4" s="5">
        <x:v>4</x:v>
      </x:c>
      <x:c r="I4" s="5">
        <x:v>4</x:v>
      </x:c>
      <x:c r="J4" s="5">
        <x:v>4</x:v>
      </x:c>
      <x:c r="K4" s="5">
        <x:v>0</x:v>
      </x:c>
      <x:c r="L4" s="5">
        <x:v>4</x:v>
      </x:c>
      <x:c r="M4" s="5">
        <x:v>4</x:v>
      </x:c>
      <x:c r="N4" s="5">
        <x:v>0</x:v>
      </x:c>
      <x:c r="O4" s="5">
        <x:v>20</x:v>
      </x:c>
      <x:c r="P4" s="3" t="s">
        <x:v>26</x:v>
      </x:c>
    </x:row>
    <x:row r="5" ht="15.5">
      <x:c r="A5">
        <x:v>4</x:v>
      </x:c>
      <x:c r="B5" t="s">
        <x:v>27</x:v>
      </x:c>
      <x:c r="C5" s="3" t="s">
        <x:v>28</x:v>
      </x:c>
      <x:c r="D5" s="4">
        <x:v>6</x:v>
      </x:c>
      <x:c r="E5" s="4">
        <x:v>100</x:v>
      </x:c>
      <x:c r="F5" s="4" t="s">
        <x:v>18</x:v>
      </x:c>
      <x:c r="G5" s="3" t="s">
        <x:v>29</x:v>
      </x:c>
      <x:c r="H5" s="5">
        <x:v>0</x:v>
      </x:c>
      <x:c r="I5" s="5">
        <x:v>6</x:v>
      </x:c>
      <x:c r="J5" s="5">
        <x:v>0</x:v>
      </x:c>
      <x:c r="K5" s="5">
        <x:v>0</x:v>
      </x:c>
      <x:c r="L5" s="5">
        <x:v>0</x:v>
      </x:c>
      <x:c r="M5" s="5">
        <x:v>0</x:v>
      </x:c>
      <x:c r="N5" s="5">
        <x:v>0</x:v>
      </x:c>
      <x:c r="O5" s="5">
        <x:v>6</x:v>
      </x:c>
      <x:c r="P5" s="3" t="s">
        <x:v>30</x:v>
      </x:c>
    </x:row>
    <x:row r="6" ht="62">
      <x:c r="A6">
        <x:v>5</x:v>
      </x:c>
      <x:c r="B6" t="s">
        <x:v>27</x:v>
      </x:c>
      <x:c r="C6" s="3" t="s">
        <x:v>31</x:v>
      </x:c>
      <x:c r="D6" s="4">
        <x:v>12</x:v>
      </x:c>
      <x:c r="E6" s="4">
        <x:v>95</x:v>
      </x:c>
      <x:c r="F6" s="4" t="s">
        <x:v>32</x:v>
      </x:c>
      <x:c r="G6" s="3" t="s">
        <x:v>19</x:v>
      </x:c>
      <x:c r="H6" s="5">
        <x:v>0</x:v>
      </x:c>
      <x:c r="I6" s="5">
        <x:v>0.9</x:v>
      </x:c>
      <x:c r="J6" s="5">
        <x:v>1.9</x:v>
      </x:c>
      <x:c r="K6" s="5">
        <x:v>9</x:v>
      </x:c>
      <x:c r="L6" s="5">
        <x:v>0</x:v>
      </x:c>
      <x:c r="M6" s="5">
        <x:v>0</x:v>
      </x:c>
      <x:c r="N6" s="5">
        <x:v>0</x:v>
      </x:c>
      <x:c r="O6" s="5">
        <x:v>11.8</x:v>
      </x:c>
      <x:c r="P6" s="3" t="s">
        <x:v>33</x:v>
      </x:c>
    </x:row>
    <x:row r="7" ht="30" customHeight="1">
      <x:c r="A7">
        <x:v>6</x:v>
      </x:c>
      <x:c r="B7" t="s">
        <x:v>27</x:v>
      </x:c>
      <x:c r="C7" s="3" t="s">
        <x:v>34</x:v>
      </x:c>
      <x:c r="D7" s="4">
        <x:v>0</x:v>
      </x:c>
      <x:c r="E7" s="4">
        <x:v>100</x:v>
      </x:c>
      <x:c r="F7" s="4" t="s">
        <x:v>18</x:v>
      </x:c>
      <x:c r="G7" s="3" t="s">
        <x:v>35</x:v>
      </x:c>
      <x:c r="H7" s="5">
        <x:v>0</x:v>
      </x:c>
      <x:c r="I7" s="5">
        <x:v>0</x:v>
      </x:c>
      <x:c r="J7" s="5">
        <x:v>0</x:v>
      </x:c>
      <x:c r="K7" s="5">
        <x:v>0</x:v>
      </x:c>
      <x:c r="L7" s="5">
        <x:v>0</x:v>
      </x:c>
      <x:c r="M7" s="5">
        <x:v>0</x:v>
      </x:c>
      <x:c r="N7" s="5">
        <x:v>0</x:v>
      </x:c>
      <x:c r="O7" s="5">
        <x:v>0</x:v>
      </x:c>
      <x:c r="P7" s="3" t="s">
        <x:v>36</x:v>
      </x:c>
    </x:row>
    <x:row r="8" ht="30" customHeight="1">
      <x:c r="A8">
        <x:v>7</x:v>
      </x:c>
      <x:c r="B8" t="s">
        <x:v>27</x:v>
      </x:c>
      <x:c r="C8" s="3" t="s">
        <x:v>37</x:v>
      </x:c>
      <x:c r="D8" s="4">
        <x:v>0</x:v>
      </x:c>
      <x:c r="E8" s="4">
        <x:v>100</x:v>
      </x:c>
      <x:c r="F8" s="4" t="s">
        <x:v>18</x:v>
      </x:c>
      <x:c r="G8" s="3" t="s">
        <x:v>35</x:v>
      </x:c>
      <x:c r="H8" s="5">
        <x:v>0</x:v>
      </x:c>
      <x:c r="I8" s="5">
        <x:v>0</x:v>
      </x:c>
      <x:c r="J8" s="5">
        <x:v>0</x:v>
      </x:c>
      <x:c r="K8" s="5">
        <x:v>0</x:v>
      </x:c>
      <x:c r="L8" s="5">
        <x:v>0</x:v>
      </x:c>
      <x:c r="M8" s="5">
        <x:v>0</x:v>
      </x:c>
      <x:c r="N8" s="5">
        <x:v>0</x:v>
      </x:c>
      <x:c r="O8" s="5">
        <x:v>0</x:v>
      </x:c>
      <x:c r="P8" s="3" t="s">
        <x:v>36</x:v>
      </x:c>
    </x:row>
    <x:row r="9" ht="46.5">
      <x:c r="A9">
        <x:v>8</x:v>
      </x:c>
      <x:c r="B9" t="s">
        <x:v>27</x:v>
      </x:c>
      <x:c r="C9" s="3" t="s">
        <x:v>38</x:v>
      </x:c>
      <x:c r="D9" s="4">
        <x:v>12</x:v>
      </x:c>
      <x:c r="E9" s="4">
        <x:v>95</x:v>
      </x:c>
      <x:c r="F9" s="4" t="s">
        <x:v>32</x:v>
      </x:c>
      <x:c r="G9" s="3" t="s">
        <x:v>19</x:v>
      </x:c>
      <x:c r="H9" s="5">
        <x:v>0</x:v>
      </x:c>
      <x:c r="I9" s="5">
        <x:v>3.5</x:v>
      </x:c>
      <x:c r="J9" s="5">
        <x:v>1.5</x:v>
      </x:c>
      <x:c r="K9" s="5">
        <x:v>6</x:v>
      </x:c>
      <x:c r="L9" s="5">
        <x:v>0</x:v>
      </x:c>
      <x:c r="M9" s="5">
        <x:v>0</x:v>
      </x:c>
      <x:c r="N9" s="5">
        <x:v>0</x:v>
      </x:c>
      <x:c r="O9" s="5">
        <x:v>11</x:v>
      </x:c>
      <x:c r="P9" s="3" t="s">
        <x:v>39</x:v>
      </x:c>
    </x:row>
    <x:row r="10" ht="62">
      <x:c r="A10">
        <x:v>9</x:v>
      </x:c>
      <x:c r="B10" t="s">
        <x:v>27</x:v>
      </x:c>
      <x:c r="C10" s="3" t="s">
        <x:v>40</x:v>
      </x:c>
      <x:c r="D10" s="4">
        <x:v>6</x:v>
      </x:c>
      <x:c r="E10" s="4">
        <x:v>95</x:v>
      </x:c>
      <x:c r="F10" s="4" t="s">
        <x:v>32</x:v>
      </x:c>
      <x:c r="G10" s="3" t="s">
        <x:v>19</x:v>
      </x:c>
      <x:c r="H10" s="5">
        <x:v>0</x:v>
      </x:c>
      <x:c r="I10" s="5">
        <x:v>3.7</x:v>
      </x:c>
      <x:c r="J10" s="5">
        <x:v>2.7</x:v>
      </x:c>
      <x:c r="K10" s="5">
        <x:v>2</x:v>
      </x:c>
      <x:c r="L10" s="5">
        <x:v>0</x:v>
      </x:c>
      <x:c r="M10" s="5">
        <x:v>0</x:v>
      </x:c>
      <x:c r="N10" s="5">
        <x:v>0</x:v>
      </x:c>
      <x:c r="O10" s="5">
        <x:v>8.4</x:v>
      </x:c>
      <x:c r="P10" s="3" t="s">
        <x:v>41</x:v>
      </x:c>
    </x:row>
    <x:row r="11" ht="162" customHeight="1">
      <x:c r="A11">
        <x:v>10</x:v>
      </x:c>
      <x:c r="B11" t="s">
        <x:v>27</x:v>
      </x:c>
      <x:c r="C11" s="9" t="s">
        <x:v>42</x:v>
      </x:c>
      <x:c r="D11" s="10">
        <x:v>25</x:v>
      </x:c>
      <x:c r="E11" s="10" t="n">
        <x:v>95</x:v>
      </x:c>
      <x:c r="F11" s="10" t="str">
        <x:v>En curso</x:v>
      </x:c>
      <x:c r="G11" s="9" t="str">
        <x:v>Aarón Mayorga, Luis Martínez</x:v>
      </x:c>
      <x:c r="H11" s="11">
        <x:v>0</x:v>
      </x:c>
      <x:c r="I11" s="11" t="n">
        <x:v>23.4</x:v>
      </x:c>
      <x:c r="J11" s="11" t="n">
        <x:v>24.7</x:v>
      </x:c>
      <x:c r="K11" s="11" t="n">
        <x:v>10</x:v>
      </x:c>
      <x:c r="L11" s="11">
        <x:v>0</x:v>
      </x:c>
      <x:c r="M11" s="11">
        <x:v>0</x:v>
      </x:c>
      <x:c r="N11" s="11">
        <x:v>0</x:v>
      </x:c>
      <x:c r="O11" s="11" t="n">
        <x:f>SUM(H11:N11)</x:f>
        <x:v>58.099999999999994</x:v>
      </x:c>
      <x:c r="P11" s="9" t="str">
        <x:v>Modelo canónico de pre-registro, IAM y GTRS implementado; pendientes de waves posteriores. Equipo del avance: Aarón Mayorga 2.9 h y Luis Martínez 2.9 h. Actualización 27/08: Modelo lógico ampliado con cliente canónico por firma, snapshots de versión, Home, rol único, exportaciones y ciclo inicial de revisión. Horas estimadas del corte: Aarón 0.5 h; Luis Martínez 0.8 h. Actualización 04/09: Modelo ampliado para revisión, registro de clientes aceptados e identidad interna estable. PAC/PACC aún no tiene modelo funcional completo. Horas estimadas del corte: Luis Martínez 1.0 h.</x:v>
      </x:c>
    </x:row>
    <x:row r="12" ht="180" customHeight="1">
      <x:c r="A12">
        <x:v>11</x:v>
      </x:c>
      <x:c r="B12" t="s">
        <x:v>27</x:v>
      </x:c>
      <x:c r="C12" s="9" t="s">
        <x:v>43</x:v>
      </x:c>
      <x:c r="D12" s="10">
        <x:v>20</x:v>
      </x:c>
      <x:c r="E12" s="10" t="n">
        <x:v>95</x:v>
      </x:c>
      <x:c r="F12" s="10" t="str">
        <x:v>En curso</x:v>
      </x:c>
      <x:c r="G12" s="9" t="str">
        <x:v>Aarón Mayorga, Luis Martínez</x:v>
      </x:c>
      <x:c r="H12" s="11">
        <x:v>0</x:v>
      </x:c>
      <x:c r="I12" s="11" t="n">
        <x:v>7.1</x:v>
      </x:c>
      <x:c r="J12" s="11" t="n">
        <x:v>11.3</x:v>
      </x:c>
      <x:c r="K12" s="11" t="n">
        <x:v>10</x:v>
      </x:c>
      <x:c r="L12" s="11">
        <x:v>0</x:v>
      </x:c>
      <x:c r="M12" s="11">
        <x:v>0</x:v>
      </x:c>
      <x:c r="N12" s="11">
        <x:v>0</x:v>
      </x:c>
      <x:c r="O12" s="11" t="n">
        <x:f>SUM(H12:N12)</x:f>
        <x:v>28.4</x:v>
      </x:c>
      <x:c r="P12" s="9" t="str">
        <x:v>Contratos canónicos de pre-registro, invitaciones y GTRS implementados y documentados; quedan verticales posteriores. Equipo del avance: Aarón Mayorga 4.7 h y Luis Martínez 4.7 h. Corte 14/07–04/08 (GitHub): Aarón 2.0 h; Luis Martínez 5.0 h. Actualización 27/08: Contratos canónicos para catálogos bilingües, captura y envío, Home por vistas y acciones, exportación e inicio de revisión; quedan las transiciones R3/R4. Horas estimadas del corte: Aarón 0.4 h; Luis Martínez 0.6 h. Actualización 04/09: Contratos de revisión, registro aceptado e IAM interno ampliados. Los contratos PACC y de notificaciones siguen incompletos. Horas estimadas del corte: Luis Martínez 1.0 h.</x:v>
      </x:c>
    </x:row>
    <x:row r="13" ht="30" customHeight="1">
      <x:c r="A13">
        <x:v>12</x:v>
      </x:c>
      <x:c r="B13" t="s">
        <x:v>27</x:v>
      </x:c>
      <x:c r="C13" s="3" t="s">
        <x:v>44</x:v>
      </x:c>
      <x:c r="D13" s="4">
        <x:v>4</x:v>
      </x:c>
      <x:c r="E13" s="4">
        <x:v>100</x:v>
      </x:c>
      <x:c r="F13" s="4" t="s">
        <x:v>18</x:v>
      </x:c>
      <x:c r="G13" s="3" t="s">
        <x:v>35</x:v>
      </x:c>
      <x:c r="H13" s="5">
        <x:v>0</x:v>
      </x:c>
      <x:c r="I13" s="5">
        <x:v>2</x:v>
      </x:c>
      <x:c r="J13" s="5">
        <x:v>1</x:v>
      </x:c>
      <x:c r="K13" s="5">
        <x:v>4</x:v>
      </x:c>
      <x:c r="L13" s="5">
        <x:v>0</x:v>
      </x:c>
      <x:c r="M13" s="5">
        <x:v>0</x:v>
      </x:c>
      <x:c r="N13" s="5">
        <x:v>0</x:v>
      </x:c>
      <x:c r="O13" s="5">
        <x:v>7</x:v>
      </x:c>
      <x:c r="P13" s="3" t="s">
        <x:v>45</x:v>
      </x:c>
    </x:row>
    <x:row r="14" ht="108" customHeight="1">
      <x:c r="A14">
        <x:v>13</x:v>
      </x:c>
      <x:c r="B14" t="s">
        <x:v>27</x:v>
      </x:c>
      <x:c r="C14" s="9" t="s">
        <x:v>46</x:v>
      </x:c>
      <x:c r="D14" s="10">
        <x:v>1</x:v>
      </x:c>
      <x:c r="E14" s="10" t="n">
        <x:v>90</x:v>
      </x:c>
      <x:c r="F14" s="10" t="str">
        <x:v>En curso</x:v>
      </x:c>
      <x:c r="G14" s="9" t="str">
        <x:v>Aarón Mayorga, Luis Martínez</x:v>
      </x:c>
      <x:c r="H14" s="11">
        <x:v>0</x:v>
      </x:c>
      <x:c r="I14" s="11" t="n">
        <x:v>3.1</x:v>
      </x:c>
      <x:c r="J14" s="11" t="n">
        <x:v>0.1</x:v>
      </x:c>
      <x:c r="K14" s="11" t="n">
        <x:v>1</x:v>
      </x:c>
      <x:c r="L14" s="11">
        <x:v>0</x:v>
      </x:c>
      <x:c r="M14" s="11">
        <x:v>0</x:v>
      </x:c>
      <x:c r="N14" s="11">
        <x:v>0</x:v>
      </x:c>
      <x:c r="O14" s="11" t="n">
        <x:f>SUM(H14:N14)</x:f>
        <x:v>4.2</x:v>
      </x:c>
      <x:c r="P14" s="9" t="str">
        <x:v>Ambiente local documentado; la configuración definitiva de Microsoft Entra por ambiente sigue pendiente. Equipo del avance: Aarón Mayorga 0.1 h y Luis Martínez 0.1 h. Corte 14/07–04/08 (GitHub): Aarón 1.0 h; Luis Martínez 0.0 h. Actualización 04/09: Configuración Entra y QA preparada. La vinculación durable sigue detrás de un flag y un puente temporal de preproducción. Horas estimadas del corte: Aarón 2.0 h.</x:v>
      </x:c>
    </x:row>
    <x:row r="15" ht="30" customHeight="1">
      <x:c r="A15">
        <x:v>14</x:v>
      </x:c>
      <x:c r="B15" t="s">
        <x:v>27</x:v>
      </x:c>
      <x:c r="C15" s="3" t="s">
        <x:v>47</x:v>
      </x:c>
      <x:c r="D15" s="4">
        <x:v>8</x:v>
      </x:c>
      <x:c r="E15" s="4">
        <x:v>100</x:v>
      </x:c>
      <x:c r="F15" s="4" t="s">
        <x:v>18</x:v>
      </x:c>
      <x:c r="G15" s="3" t="s">
        <x:v>48</x:v>
      </x:c>
      <x:c r="H15" s="5">
        <x:v>0</x:v>
      </x:c>
      <x:c r="I15" s="5">
        <x:v>2</x:v>
      </x:c>
      <x:c r="J15" s="5">
        <x:v>2</x:v>
      </x:c>
      <x:c r="K15" s="5">
        <x:v>8</x:v>
      </x:c>
      <x:c r="L15" s="5">
        <x:v>0</x:v>
      </x:c>
      <x:c r="M15" s="5">
        <x:v>0</x:v>
      </x:c>
      <x:c r="N15" s="5">
        <x:v>0</x:v>
      </x:c>
      <x:c r="O15" s="5">
        <x:v>12</x:v>
      </x:c>
      <x:c r="P15" s="3" t="s">
        <x:v>49</x:v>
      </x:c>
    </x:row>
    <x:row r="16" ht="180" customHeight="1">
      <x:c r="A16">
        <x:v>15</x:v>
      </x:c>
      <x:c r="B16" t="s">
        <x:v>27</x:v>
      </x:c>
      <x:c r="C16" s="9" t="s">
        <x:v>50</x:v>
      </x:c>
      <x:c r="D16" s="10">
        <x:v>10</x:v>
      </x:c>
      <x:c r="E16" s="10" t="n">
        <x:v>95</x:v>
      </x:c>
      <x:c r="F16" s="10" t="str">
        <x:v>En curso</x:v>
      </x:c>
      <x:c r="G16" s="9" t="str">
        <x:v>Aarón Mayorga, Luis Martínez</x:v>
      </x:c>
      <x:c r="H16" s="11">
        <x:v>0</x:v>
      </x:c>
      <x:c r="I16" s="11" t="n">
        <x:v>6</x:v>
      </x:c>
      <x:c r="J16" s="11" t="n">
        <x:v>7.1</x:v>
      </x:c>
      <x:c r="K16" s="11" t="n">
        <x:v>0</x:v>
      </x:c>
      <x:c r="L16" s="11">
        <x:v>0</x:v>
      </x:c>
      <x:c r="M16" s="11">
        <x:v>0</x:v>
      </x:c>
      <x:c r="N16" s="11">
        <x:v>0</x:v>
      </x:c>
      <x:c r="O16" s="11" t="n">
        <x:f t="shared" ref="O16:O26" si="0">SUM(H16:N16)</x:f>
        <x:v>13.1</x:v>
      </x:c>
      <x:c r="P16" s="9" t="str">
        <x:v>Pruebas frontend, backend, esquema y concurrencia disponibles; pendiente completar validación por ambientes. Equipo del avance: Aarón Mayorga 0.8 h y Luis Martínez 0.8 h. Corte 14/07–04/08 (GitHub): Aarón 2.0 h; Luis Martínez 4.0 h. Actualización 27/08: Entorno de pruebas reforzado para Windows y CRLF; reset Supabase, PgTAP, concurrencia, frontend, E2E y .NET verificados. Horas estimadas del corte: Aarón 0.2 h; Luis Martínez 0.3 h. Actualización 04/09: Playwright reorganizado y suites de arquitectura, frontend, .NET y base de datos ampliadas. Falta validación humana por ambiente. Horas estimadas del corte: Aarón 3.0 h; Luis Martínez 2.0 h.</x:v>
      </x:c>
    </x:row>
    <x:row r="17" ht="180" customHeight="1">
      <x:c r="A17">
        <x:v>16</x:v>
      </x:c>
      <x:c r="B17" t="s">
        <x:v>27</x:v>
      </x:c>
      <x:c r="C17" s="9" t="s">
        <x:v>51</x:v>
      </x:c>
      <x:c r="D17" s="10">
        <x:v>5</x:v>
      </x:c>
      <x:c r="E17" s="10" t="n">
        <x:v>95</x:v>
      </x:c>
      <x:c r="F17" s="10" t="str">
        <x:v>En curso</x:v>
      </x:c>
      <x:c r="G17" s="9" t="str">
        <x:v>Aarón Mayorga, Luis Martínez, Daniel Pulido</x:v>
      </x:c>
      <x:c r="H17" s="11">
        <x:v>0</x:v>
      </x:c>
      <x:c r="I17" s="11" t="n">
        <x:v>7.3</x:v>
      </x:c>
      <x:c r="J17" s="11" t="n">
        <x:v>4.4</x:v>
      </x:c>
      <x:c r="K17" s="11" t="n">
        <x:v>3</x:v>
      </x:c>
      <x:c r="L17" s="11">
        <x:v>0</x:v>
      </x:c>
      <x:c r="M17" s="11">
        <x:v>0</x:v>
      </x:c>
      <x:c r="N17" s="11">
        <x:v>0</x:v>
      </x:c>
      <x:c r="O17" s="11" t="n">
        <x:f t="shared" si="0">SUM(H17:N17)</x:f>
        <x:v>14.7</x:v>
      </x:c>
      <x:c r="P17" s="9" t="str">
        <x:v>CI de frontend, backend, esquema Supabase y contexto configurado; pendiente validar despliegue integral. Equipo del avance: Aarón Mayorga 1.2 h y Luis Martínez 1.2 h. Corte 14/07–04/08 (GitHub): Aarón 3.0 h; Luis Martínez 3.0 h. Actualización 27/08: CI y rollout del Home ajustados; runner expand/contract y reglas LF incorporados. Release B y migraciones remotas de completitud siguen pendientes. Horas estimadas del corte: Aarón 0.1 h; Luis Martínez 0.2 h. Actualización 04/09: Workflows de infraestructura y CD, OIDC y verificaciones QA añadidos. El despliegue productivo integral no está aceptado. Horas estimadas del corte: Aarón 3.0 h; Daniel 3.0 h.</x:v>
      </x:c>
    </x:row>
    <x:row r="18" ht="124">
      <x:c r="A18">
        <x:v>17</x:v>
      </x:c>
      <x:c r="B18" t="s">
        <x:v>52</x:v>
      </x:c>
      <x:c r="C18" s="3" t="s">
        <x:v>53</x:v>
      </x:c>
      <x:c r="D18" s="4">
        <x:v>28</x:v>
      </x:c>
      <x:c r="E18" s="4">
        <x:v>100</x:v>
      </x:c>
      <x:c r="F18" s="4" t="s">
        <x:v>18</x:v>
      </x:c>
      <x:c r="G18" s="3" t="s">
        <x:v>19</x:v>
      </x:c>
      <x:c r="H18" s="5">
        <x:v>0</x:v>
      </x:c>
      <x:c r="I18" s="5">
        <x:v>4.9000000000000004</x:v>
      </x:c>
      <x:c r="J18" s="5">
        <x:v>11.1</x:v>
      </x:c>
      <x:c r="K18" s="5">
        <x:v>10</x:v>
      </x:c>
      <x:c r="L18" s="5">
        <x:v>0</x:v>
      </x:c>
      <x:c r="M18" s="5">
        <x:v>0</x:v>
      </x:c>
      <x:c r="N18" s="5">
        <x:v>0</x:v>
      </x:c>
      <x:c r="O18" s="5">
        <x:f t="shared" si="0"/>
        <x:v>26</x:v>
      </x:c>
      <x:c r="P18" s="3" t="s">
        <x:v>54</x:v>
      </x:c>
    </x:row>
    <x:row r="19" ht="162" customHeight="1">
      <x:c r="A19">
        <x:v>18</x:v>
      </x:c>
      <x:c r="B19" t="s">
        <x:v>52</x:v>
      </x:c>
      <x:c r="C19" s="9" t="s">
        <x:v>55</x:v>
      </x:c>
      <x:c r="D19" s="10">
        <x:v>12</x:v>
      </x:c>
      <x:c r="E19" s="10" t="n">
        <x:v>100</x:v>
      </x:c>
      <x:c r="F19" s="10" t="str">
        <x:v>Listo</x:v>
      </x:c>
      <x:c r="G19" s="9" t="str">
        <x:v>Aarón Mayorga, Luis Martínez</x:v>
      </x:c>
      <x:c r="H19" s="11">
        <x:v>0</x:v>
      </x:c>
      <x:c r="I19" s="11" t="n">
        <x:v>4.5</x:v>
      </x:c>
      <x:c r="J19" s="11" t="n">
        <x:v>10.7</x:v>
      </x:c>
      <x:c r="K19" s="11" t="n">
        <x:v>2</x:v>
      </x:c>
      <x:c r="L19" s="11">
        <x:v>0</x:v>
      </x:c>
      <x:c r="M19" s="11">
        <x:v>0</x:v>
      </x:c>
      <x:c r="N19" s="11">
        <x:v>0</x:v>
      </x:c>
      <x:c r="O19" s="11" t="n">
        <x:f t="shared" si="0">SUM(H19:N19)</x:f>
        <x:v>17.2</x:v>
      </x:c>
      <x:c r="P19" s="9" t="str">
        <x:v>RPC y funciones de pre-registro, invitaciones, GTRS, idempotencia y alcance global implementadas. Equipo del avance: Aarón Mayorga 3.3 h y Luis Martínez 3.3 h. Corte 14/07–04/08 (GitHub): Aarón 1.0 h; Luis Martínez 5.0 h. Actualización 27/08: RPC y funciones para captura, listado, renovación, exportación, completitud e inicio seguro de revisión integradas. Horas estimadas del corte: Aarón 0.2 h; Luis Martínez 0.4 h. Actualización 04/09: Funciones canónicas de revisión y registro aceptado ampliadas. El 100% corresponde al alcance GTRS vigente, no a PACC. Horas estimadas del corte: Luis Martínez 2.0 h.</x:v>
      </x:c>
    </x:row>
    <x:row r="20" ht="180" customHeight="1">
      <x:c r="A20">
        <x:v>19</x:v>
      </x:c>
      <x:c r="B20" t="s">
        <x:v>52</x:v>
      </x:c>
      <x:c r="C20" s="9" t="s">
        <x:v>56</x:v>
      </x:c>
      <x:c r="D20" s="10">
        <x:v>13</x:v>
      </x:c>
      <x:c r="E20" s="10" t="n">
        <x:v>90</x:v>
      </x:c>
      <x:c r="F20" s="10" t="str">
        <x:v>En curso</x:v>
      </x:c>
      <x:c r="G20" s="9" t="str">
        <x:v>Aarón Mayorga, Luis Martínez</x:v>
      </x:c>
      <x:c r="H20" s="11">
        <x:v>0</x:v>
      </x:c>
      <x:c r="I20" s="11" t="n">
        <x:v>4</x:v>
      </x:c>
      <x:c r="J20" s="11" t="n">
        <x:v>10.3</x:v>
      </x:c>
      <x:c r="K20" s="11" t="n">
        <x:v>0</x:v>
      </x:c>
      <x:c r="L20" s="11">
        <x:v>0</x:v>
      </x:c>
      <x:c r="M20" s="11">
        <x:v>0</x:v>
      </x:c>
      <x:c r="N20" s="11">
        <x:v>0</x:v>
      </x:c>
      <x:c r="O20" s="11" t="n">
        <x:f t="shared" si="0">SUM(H20:N20)</x:f>
        <x:v>14.3</x:v>
      </x:c>
      <x:c r="P20" s="9" t="str">
        <x:v>Automatizaciones y auditoría transaccional implementadas en flujos Core; cobertura de módulos posteriores pendiente. Equipo del avance: Aarón Mayorga 3.5 h y Luis Martínez 3.5 h. Corte 14/07–04/08 (GitHub): Aarón 0.0 h; Luis Martínez 4.0 h. Actualización 27/08: Auditoría e invariantes reforzadas para identidad, snapshots, observaciones y transiciones; permanece pendiente la cobertura de las etapas posteriores de revisión. Horas estimadas del corte: Aarón 0.5 h; Luis Martínez 0.8 h. Actualización 04/09: Invariantes, eventos y cron para revisión, lista e IAM integrados. PACC y notificaciones todavía no están cubiertos. Horas estimadas del corte: Luis Martínez 2.0 h.</x:v>
      </x:c>
    </x:row>
    <x:row r="21" ht="180" customHeight="1">
      <x:c r="A21">
        <x:v>20</x:v>
      </x:c>
      <x:c r="B21" t="s">
        <x:v>52</x:v>
      </x:c>
      <x:c r="C21" s="9" t="s">
        <x:v>57</x:v>
      </x:c>
      <x:c r="D21" s="10">
        <x:v>17</x:v>
      </x:c>
      <x:c r="E21" s="10" t="n">
        <x:v>95</x:v>
      </x:c>
      <x:c r="F21" s="10" t="str">
        <x:v>En curso</x:v>
      </x:c>
      <x:c r="G21" s="9" t="str">
        <x:v>Aarón Mayorga, Luis Martínez</x:v>
      </x:c>
      <x:c r="H21" s="11">
        <x:v>0</x:v>
      </x:c>
      <x:c r="I21" s="11" t="n">
        <x:v>21</x:v>
      </x:c>
      <x:c r="J21" s="11" t="n">
        <x:v>9.1</x:v>
      </x:c>
      <x:c r="K21" s="11" t="n">
        <x:v>0</x:v>
      </x:c>
      <x:c r="L21" s="11">
        <x:v>0</x:v>
      </x:c>
      <x:c r="M21" s="11">
        <x:v>0</x:v>
      </x:c>
      <x:c r="N21" s="11">
        <x:v>0</x:v>
      </x:c>
      <x:c r="O21" s="11" t="n">
        <x:f t="shared" si="0">SUM(H21:N21)</x:f>
        <x:v>30.1</x:v>
      </x:c>
      <x:c r="P21" s="9" t="str">
        <x:v>RBAC, capacidades y alcance por firma/global endurecidos; aprovisionamiento Microsoft y configuración avanzada pendientes. Equipo del avance: Aarón Mayorga 2.6 h y Luis Martínez 2.6 h. Corte 14/07–04/08 (GitHub): Aarón 3.0 h; Luis Martínez 6.0 h. Actualización 27/08: Alcance por firma y propiedad, cliente externo, rol único, acciones por recurso y separación Administración/Riesgo cerrados; Entra permanece pendiente. Horas estimadas del corte: Aarón 0.4 h; Luis Martínez 0.5 h. Actualización 04/09: Acceso interno estable y preautorización Entra implementados. Quedan activación QA, vinculación durable y permisos PACC. Horas estimadas del corte: Aarón 8.0 h.</x:v>
      </x:c>
    </x:row>
    <x:row r="22" ht="180" customHeight="1">
      <x:c r="A22">
        <x:v>21</x:v>
      </x:c>
      <x:c r="B22" t="s">
        <x:v>52</x:v>
      </x:c>
      <x:c r="C22" s="9" t="s">
        <x:v>58</x:v>
      </x:c>
      <x:c r="D22" s="10">
        <x:v>70</x:v>
      </x:c>
      <x:c r="E22" s="10" t="n">
        <x:v>90</x:v>
      </x:c>
      <x:c r="F22" s="10" t="str">
        <x:v>En curso</x:v>
      </x:c>
      <x:c r="G22" s="9" t="str">
        <x:v>Aarón Mayorga, Luis Martínez</x:v>
      </x:c>
      <x:c r="H22" s="11">
        <x:v>0</x:v>
      </x:c>
      <x:c r="I22" s="11" t="n">
        <x:v>35.9</x:v>
      </x:c>
      <x:c r="J22" s="11" t="n">
        <x:v>31.1</x:v>
      </x:c>
      <x:c r="K22" s="11" t="n">
        <x:v>0</x:v>
      </x:c>
      <x:c r="L22" s="11">
        <x:v>0</x:v>
      </x:c>
      <x:c r="M22" s="11">
        <x:v>0</x:v>
      </x:c>
      <x:c r="N22" s="11">
        <x:v>0</x:v>
      </x:c>
      <x:c r="O22" s="11" t="n">
        <x:f t="shared" si="0">SUM(H22:N22)</x:f>
        <x:v>67</x:v>
      </x:c>
      <x:c r="P22" s="9" t="str">
        <x:v>Pre-registro full-stack integrado en Administrativo: bandeja, creación, invitaciones, aceptación passwordless, auditoría e idempotencia. Pendientes clientes/tenants y aprovisionamiento Microsoft. Equipo del avance: Aarón Mayorga 19.0 h y Luis Martínez 19.0 h. Corte 14/07–04/08 (GitHub): Aarón 8.0 h; Luis Martínez 4.0 h. Actualización 27/08: Bandeja de pre-registro pulida, contratos de identificación corregidos y Home administrativo global integrado. Aprovisionamiento Microsoft permanece pendiente. Horas estimadas del corte: Aarón 2.9 h; Luis Martínez 4.1 h. Actualización 04/09: Administración de usuarios, preautorizaciones y registro aceptado avanzaron. Faltan activación QA, lista oficial condicionada por PACC y avisos por correo o Teams. Horas estimadas del corte: Aarón 6.0 h; Luis Martínez 4.0 h.</x:v>
      </x:c>
    </x:row>
    <x:row r="23" ht="180" customHeight="1">
      <x:c r="A23">
        <x:v>22</x:v>
      </x:c>
      <x:c r="B23" t="s">
        <x:v>52</x:v>
      </x:c>
      <x:c r="C23" s="9" t="s">
        <x:v>59</x:v>
      </x:c>
      <x:c r="D23" s="10">
        <x:v>124</x:v>
      </x:c>
      <x:c r="E23" s="10" t="n">
        <x:v>95</x:v>
      </x:c>
      <x:c r="F23" s="10" t="str">
        <x:v>En curso</x:v>
      </x:c>
      <x:c r="G23" s="9" t="str">
        <x:v>Aarón Mayorga, Luis Martínez</x:v>
      </x:c>
      <x:c r="H23" s="11">
        <x:v>0</x:v>
      </x:c>
      <x:c r="I23" s="11" t="n">
        <x:v>119.9</x:v>
      </x:c>
      <x:c r="J23" s="11" t="n">
        <x:v>59.9</x:v>
      </x:c>
      <x:c r="K23" s="11" t="n">
        <x:v>0</x:v>
      </x:c>
      <x:c r="L23" s="11">
        <x:v>0</x:v>
      </x:c>
      <x:c r="M23" s="11">
        <x:v>0</x:v>
      </x:c>
      <x:c r="N23" s="11">
        <x:v>0</x:v>
      </x:c>
      <x:c r="O23" s="11" t="n">
        <x:f t="shared" si="0">SUM(H23:N23)</x:f>
        <x:v>179.8</x:v>
      </x:c>
      <x:c r="P23" s="9" t="str">
        <x:v>Backend GTRS cerrado para 8 secciones, lectura, ETag y submit atómico; el frontend /formulario-gtrs-v2 aún usa definición y solicitud mock. Equipo del avance: Aarón Mayorga 24.1 h y Luis Martínez 24.1 h. Corte 14/07–04/08 (GitHub): Aarón 8.0 h; Luis Martínez 10.0 h. Actualización 27/08: Formulario canónico integrado en las nueve secciones con catálogos, hidratación, guardado/envío, Personal clave, validaciones y navegación segura. Pendiente UAT. Horas estimadas del corte: Aarón 17.8 h; Luis Martínez 25.8 h. Actualización 04/09: Sin incremento de avance. La captura GTRS está integrada, pero faltan UAT, corrección y reenvío, y notificaciones del ciclo. Sin horas atribuidas en este corte.</x:v>
      </x:c>
    </x:row>
    <x:row r="24" ht="180" customHeight="1">
      <x:c r="A24">
        <x:v>23</x:v>
      </x:c>
      <x:c r="B24" t="s">
        <x:v>52</x:v>
      </x:c>
      <x:c r="C24" s="9" t="s">
        <x:v>60</x:v>
      </x:c>
      <x:c r="D24" s="10">
        <x:v>142</x:v>
      </x:c>
      <x:c r="E24" s="10" t="n">
        <x:v>85</x:v>
      </x:c>
      <x:c r="F24" s="10" t="str">
        <x:v>En curso</x:v>
      </x:c>
      <x:c r="G24" s="9" t="str">
        <x:v>Aarón Mayorga, Luis Martínez</x:v>
      </x:c>
      <x:c r="H24" s="11">
        <x:v>0</x:v>
      </x:c>
      <x:c r="I24" s="11" t="n">
        <x:v>37.3</x:v>
      </x:c>
      <x:c r="J24" s="11" t="n">
        <x:v>49.4</x:v>
      </x:c>
      <x:c r="K24" s="11" t="n">
        <x:v>0</x:v>
      </x:c>
      <x:c r="L24" s="11">
        <x:v>0</x:v>
      </x:c>
      <x:c r="M24" s="11">
        <x:v>0</x:v>
      </x:c>
      <x:c r="N24" s="11">
        <x:v>0</x:v>
      </x:c>
      <x:c r="O24" s="11" t="n">
        <x:f t="shared" si="0">SUM(H24:N24)</x:f>
        <x:v>86.69999999999999</x:v>
      </x:c>
      <x:c r="P24" s="9" t="str">
        <x:v>State machine, autorización y contratos de revisión presentes; integración funcional completa de revisión/UI pendiente. Equipo del avance: Aarón Mayorga 16.6 h y Luis Martínez 16.6 h. Corte 14/07–04/08 (GitHub): Aarón 5.0 h; Luis Martínez 3.0 h. Actualización 27/08: Cola y lecturas de Riesgo, ruta dedicada, persistencia de observaciones e inicio de revisión implementados. Pendientes editar, publicar, resolver y las transiciones finales. Horas estimadas del corte: Aarón 11.7 h; Luis Martínez 16.8 h. Actualización 04/09: Observaciones y decisiones atómicas, interfaz real, trazabilidad, navegación y reasignación desplegadas. Faltan repetición manual, corrección y reenvío, y correos del proceso. Horas estimadas del corte: Aarón 4.0 h; Luis Martínez 13.0 h.</x:v>
      </x:c>
    </x:row>
    <x:row r="25" ht="180" customHeight="1">
      <x:c r="A25">
        <x:v>24</x:v>
      </x:c>
      <x:c r="B25" t="s">
        <x:v>52</x:v>
      </x:c>
      <x:c r="C25" s="9" t="s">
        <x:v>61</x:v>
      </x:c>
      <x:c r="D25" s="10">
        <x:v>142</x:v>
      </x:c>
      <x:c r="E25" s="10" t="n">
        <x:v>90</x:v>
      </x:c>
      <x:c r="F25" s="10" t="str">
        <x:v>En curso</x:v>
      </x:c>
      <x:c r="G25" s="9" t="str">
        <x:v>Aarón Mayorga, Luis Martínez</x:v>
      </x:c>
      <x:c r="H25" s="11">
        <x:v>0</x:v>
      </x:c>
      <x:c r="I25" s="11" t="n">
        <x:v>58.8</x:v>
      </x:c>
      <x:c r="J25" s="11" t="n">
        <x:v>67.5</x:v>
      </x:c>
      <x:c r="K25" s="11" t="n">
        <x:v>0</x:v>
      </x:c>
      <x:c r="L25" s="11">
        <x:v>0</x:v>
      </x:c>
      <x:c r="M25" s="11">
        <x:v>0</x:v>
      </x:c>
      <x:c r="N25" s="11">
        <x:v>0</x:v>
      </x:c>
      <x:c r="O25" s="11" t="n">
        <x:f t="shared" si="0">SUM(H25:N25)</x:f>
        <x:v>126.3</x:v>
      </x:c>
      <x:c r="P25" s="9" t="str">
        <x:v>Invitación, aceptación passwordless, Magic Link y acceso externo multiempresa implementados; captura GTRS vertical pendiente. Equipo del avance: Aarón Mayorga 27.6 h y Luis Martínez 27.6 h. Corte 14/07–04/08 (GitHub): Aarón 5.0 h; Luis Martínez 2.0 h. Actualización 27/08: Portal externo con Magic Link estable, Mis registros reales, creación contextual y GTRS adicionales, captura completa y controles de acceso. Pendiente UAT. Horas estimadas del corte: Aarón 26.2 h; Luis Martínez 37.9 h. Actualización 04/09: Se mantiene el avance. El portal opera para GTRS, pero la devolución y el reenvío, y los correos del proceso siguen incompletos. Sin horas atribuidas en este corte.</x:v>
      </x:c>
    </x:row>
    <x:row r="26" ht="180" customHeight="1">
      <x:c r="A26">
        <x:v>25</x:v>
      </x:c>
      <x:c r="B26" t="s">
        <x:v>52</x:v>
      </x:c>
      <x:c r="C26" s="9" t="s">
        <x:v>62</x:v>
      </x:c>
      <x:c r="D26" s="10">
        <x:v>40</x:v>
      </x:c>
      <x:c r="E26" s="10" t="n">
        <x:v>90</x:v>
      </x:c>
      <x:c r="F26" s="10" t="str">
        <x:v>En curso</x:v>
      </x:c>
      <x:c r="G26" s="9" t="str">
        <x:v>Aarón Mayorga, Luis Martínez</x:v>
      </x:c>
      <x:c r="H26" s="11">
        <x:v>0</x:v>
      </x:c>
      <x:c r="I26" s="11" t="n">
        <x:v>18.7</x:v>
      </x:c>
      <x:c r="J26" s="11" t="n">
        <x:v>18.9</x:v>
      </x:c>
      <x:c r="K26" s="11" t="n">
        <x:v>0</x:v>
      </x:c>
      <x:c r="L26" s="11">
        <x:v>0</x:v>
      </x:c>
      <x:c r="M26" s="11">
        <x:v>0</x:v>
      </x:c>
      <x:c r="N26" s="11">
        <x:v>0</x:v>
      </x:c>
      <x:c r="O26" s="11" t="n">
        <x:f t="shared" si="0">SUM(H26:N26)</x:f>
        <x:v>37.599999999999994</x:v>
      </x:c>
      <x:c r="P26" s="9" t="str">
        <x:v>Pre-registro interno, guards, permisos y gestión de usuarios integrados; otros workspaces conservan mocks/prototipos. Equipo del avance: Aarón Mayorga 7.8 h y Luis Martínez 7.8 h. Corte 14/07–04/08 (GitHub): Aarón 4.0 h; Luis Martínez 1.0 h. Actualización 27/08: Home interno por rol con datos reales, filtros, paginación, creación, renovación, exportación y navegación a revisión; reasignación quedó fuera de alcance. Horas estimadas del corte: Aarón 4.9 h; Luis Martínez 7.1 h. Actualización 04/09: Registro de clientes aceptados full-stack y Home e IAM integrados. La lista oficial depende también de PACC y falta publicar y probar la interfaz. Horas estimadas del corte: Aarón 2.0 h; Luis Martínez 3.0 h.</x:v>
      </x:c>
    </x:row>
    <x:row r="27" ht="72" customHeight="1">
      <x:c r="A27">
        <x:v>26</x:v>
      </x:c>
      <x:c r="B27" t="s">
        <x:v>52</x:v>
      </x:c>
      <x:c r="C27" s="9" t="s">
        <x:v>63</x:v>
      </x:c>
      <x:c r="D27" s="10">
        <x:v>66</x:v>
      </x:c>
      <x:c r="E27" s="10" t="n">
        <x:v>15</x:v>
      </x:c>
      <x:c r="F27" s="10" t="str">
        <x:v>En curso</x:v>
      </x:c>
      <x:c r="G27" s="9" t="str">
        <x:v>Luis Montero, Aarón Mayorga, Luis Martínez</x:v>
      </x:c>
      <x:c r="H27" s="11">
        <x:v>0</x:v>
      </x:c>
      <x:c r="I27" s="11" t="n">
        <x:v>0</x:v>
      </x:c>
      <x:c r="J27" s="11" t="n">
        <x:v>0</x:v>
      </x:c>
      <x:c r="K27" s="11" t="n">
        <x:v>0</x:v>
      </x:c>
      <x:c r="L27" s="11">
        <x:v>0</x:v>
      </x:c>
      <x:c r="M27" s="11">
        <x:v>0</x:v>
      </x:c>
      <x:c r="N27" s="11">
        <x:v>0</x:v>
      </x:c>
      <x:c r="O27" s="11" t="n">
        <x:f>SUM(H27:N27)</x:f>
        <x:v>0</x:v>
      </x:c>
      <x:c r="P27" s="9" t="str">
        <x:v>30 Actualización 04/09: Sin avance verificable. PACC conserva un scaffold legacy sin ruta o frontend, definición publicada, ramificación, transacciones ni pruebas funcionales. Sin horas atribuidas en este corte.</x:v>
      </x:c>
    </x:row>
    <x:row r="28" ht="60" customHeight="1">
      <x:c r="A28">
        <x:v>27</x:v>
      </x:c>
      <x:c r="B28" t="s">
        <x:v>52</x:v>
      </x:c>
      <x:c r="C28" s="9" t="s">
        <x:v>64</x:v>
      </x:c>
      <x:c r="D28" s="10">
        <x:v>76</x:v>
      </x:c>
      <x:c r="E28" s="10" t="n">
        <x:v>20</x:v>
      </x:c>
      <x:c r="F28" s="10" t="str">
        <x:v>En curso</x:v>
      </x:c>
      <x:c r="G28" s="9" t="str">
        <x:v>Aarón Mayorga, Luis Montero, Luis Martínez</x:v>
      </x:c>
      <x:c r="H28" s="11">
        <x:v>0</x:v>
      </x:c>
      <x:c r="I28" s="11" t="n">
        <x:v>0</x:v>
      </x:c>
      <x:c r="J28" s="11" t="n">
        <x:v>0</x:v>
      </x:c>
      <x:c r="K28" s="11" t="n">
        <x:v>0</x:v>
      </x:c>
      <x:c r="L28" s="11">
        <x:v>0</x:v>
      </x:c>
      <x:c r="M28" s="11">
        <x:v>0</x:v>
      </x:c>
      <x:c r="N28" s="11">
        <x:v>0</x:v>
      </x:c>
      <x:c r="O28" s="11" t="n">
        <x:f>SUM(H28:N28)</x:f>
        <x:v>0</x:v>
      </x:c>
      <x:c r="P28" s="9" t="str">
        <x:v>30 Actualización 04/09: Sin avance verificable. La revisión PACC aún no tiene workflow, permisos canónicos, snapshots ni decisiones transaccionales probadas. Sin horas atribuidas en este corte.</x:v>
      </x:c>
    </x:row>
    <x:row r="29" ht="180" customHeight="1">
      <x:c r="A29">
        <x:v>28</x:v>
      </x:c>
      <x:c r="B29" t="s">
        <x:v>52</x:v>
      </x:c>
      <x:c r="C29" s="9" t="s">
        <x:v>65</x:v>
      </x:c>
      <x:c r="D29" s="10">
        <x:v>51</x:v>
      </x:c>
      <x:c r="E29" s="10" t="n">
        <x:v>95</x:v>
      </x:c>
      <x:c r="F29" s="10" t="str">
        <x:v>En curso</x:v>
      </x:c>
      <x:c r="G29" s="9" t="str">
        <x:v>Aarón Mayorga, Luis Martínez, Daniel Pulido</x:v>
      </x:c>
      <x:c r="H29" s="11">
        <x:v>0</x:v>
      </x:c>
      <x:c r="I29" s="11" t="n">
        <x:v>12</x:v>
      </x:c>
      <x:c r="J29" s="11" t="n">
        <x:v>15.9</x:v>
      </x:c>
      <x:c r="K29" s="11" t="n">
        <x:v>1</x:v>
      </x:c>
      <x:c r="L29" s="11">
        <x:v>0</x:v>
      </x:c>
      <x:c r="M29" s="11">
        <x:v>0</x:v>
      </x:c>
      <x:c r="N29" s="11">
        <x:v>0</x:v>
      </x:c>
      <x:c r="O29" s="11" t="n">
        <x:f>SUM(H29:N29)</x:f>
        <x:v>28.9</x:v>
      </x:c>
      <x:c r="P29" s="9" t="str">
        <x:v>Contexto canónico, handoffs, decisiones, autenticación, despliegue y runbooks actualizados al 10/08. Equipo del avance: Aarón Mayorga 5.9 h y Luis Martínez 5.9 h. Corte 14/07–04/08 (GitHub): Aarón 2.0 h; Luis Martínez 5.0 h. Actualización 27/08: Contratos, ADR, handoffs, runbooks de rollout, contexto y documentación de GTRS actualizados al 27/08. Horas estimadas del corte: Aarón 2.1 h; Luis Martínez 3.0 h. Actualización 04/09: Planes, decisiones, contexto, runbooks e infraestructura documentados. Faltan documentación operativa PACC y notificaciones, y el cierre final. Horas estimadas del corte: Aarón 2.0 h; Luis Martínez 2.0 h; Daniel 1.0 h.</x:v>
      </x:c>
    </x:row>
    <x:row r="30" ht="162" customHeight="1">
      <x:c r="A30">
        <x:v>29</x:v>
      </x:c>
      <x:c r="B30" t="s">
        <x:v>66</x:v>
      </x:c>
      <x:c r="C30" s="9" t="s">
        <x:v>67</x:v>
      </x:c>
      <x:c r="D30" s="10">
        <x:v>17</x:v>
      </x:c>
      <x:c r="E30" s="10" t="n">
        <x:v>95</x:v>
      </x:c>
      <x:c r="F30" s="10" t="str">
        <x:v>En curso</x:v>
      </x:c>
      <x:c r="G30" s="9" t="str">
        <x:v>Aarón Mayorga, Luis Martínez</x:v>
      </x:c>
      <x:c r="H30" s="11">
        <x:v>0</x:v>
      </x:c>
      <x:c r="I30" s="11" t="n">
        <x:v>7.9</x:v>
      </x:c>
      <x:c r="J30" s="11" t="n">
        <x:v>14.5</x:v>
      </x:c>
      <x:c r="K30" s="11" t="n">
        <x:v>0</x:v>
      </x:c>
      <x:c r="L30" s="11">
        <x:v>0</x:v>
      </x:c>
      <x:c r="M30" s="11">
        <x:v>0</x:v>
      </x:c>
      <x:c r="N30" s="11">
        <x:v>0</x:v>
      </x:c>
      <x:c r="O30" s="11" t="n">
        <x:f>SUM(H30:N30)</x:f>
        <x:v>22.4</x:v>
      </x:c>
      <x:c r="P30" s="9" t="str">
        <x:v>Cobertura automatizada amplia en frontend, API, Application, SQL y concurrencia; UAT aún no iniciado. Equipo del avance: Aarón Mayorga 4.5 h y Luis Martínez 4.5 h. Corte 14/07–04/08 (GitHub): Aarón 1.0 h; Luis Martínez 6.0 h. Actualización 27/08: Cobertura ampliada: 536 pruebas frontend, 593 .NET, entre 1,484 y 1,562 PgTAP según el corte y 16 E2E; UAT formal no iniciado. Horas estimadas del corte: Aarón 1.4 h; Luis Martínez 2.0 h. Actualización 04/09: Cobertura automatizada ampliada. UAT formal no ha iniciado y persiste deuda histórica en parte de la suite pgTAP. Horas estimadas del corte: Aarón 1.0 h; Luis Martínez 2.0 h.</x:v>
      </x:c>
    </x:row>
    <x:row r="31" ht="31">
      <x:c r="A31">
        <x:v>30</x:v>
      </x:c>
      <x:c r="B31" t="s">
        <x:v>66</x:v>
      </x:c>
      <x:c r="C31" s="3" t="s">
        <x:v>68</x:v>
      </x:c>
      <x:c r="D31" s="4">
        <x:v>16</x:v>
      </x:c>
      <x:c r="E31" s="4">
        <x:v>0</x:v>
      </x:c>
      <x:c r="F31" s="4" t="s">
        <x:v>69</x:v>
      </x:c>
      <x:c r="G31" s="3" t="s">
        <x:v>70</x:v>
      </x:c>
      <x:c r="H31" s="5">
        <x:v>0</x:v>
      </x:c>
      <x:c r="I31" s="5">
        <x:v>0</x:v>
      </x:c>
      <x:c r="J31" s="5">
        <x:v>0</x:v>
      </x:c>
      <x:c r="K31" s="5">
        <x:v>0</x:v>
      </x:c>
      <x:c r="L31" s="5">
        <x:v>0</x:v>
      </x:c>
      <x:c r="M31" s="5">
        <x:v>0</x:v>
      </x:c>
      <x:c r="N31" s="5">
        <x:v>0</x:v>
      </x:c>
      <x:c r="O31" s="5">
        <x:v>0</x:v>
      </x:c>
      <x:c r="P31" s="3" t="s">
        <x:v>30</x:v>
      </x:c>
    </x:row>
    <x:row r="32" ht="31">
      <x:c r="A32">
        <x:v>31</x:v>
      </x:c>
      <x:c r="B32" t="s">
        <x:v>66</x:v>
      </x:c>
      <x:c r="C32" s="3" t="s">
        <x:v>71</x:v>
      </x:c>
      <x:c r="D32" s="4">
        <x:v>26</x:v>
      </x:c>
      <x:c r="E32" s="4">
        <x:v>0</x:v>
      </x:c>
      <x:c r="F32" s="4" t="s">
        <x:v>69</x:v>
      </x:c>
      <x:c r="G32" s="3" t="s">
        <x:v>72</x:v>
      </x:c>
      <x:c r="H32" s="5">
        <x:v>0</x:v>
      </x:c>
      <x:c r="I32" s="5">
        <x:v>0</x:v>
      </x:c>
      <x:c r="J32" s="5">
        <x:v>0</x:v>
      </x:c>
      <x:c r="K32" s="5">
        <x:v>0</x:v>
      </x:c>
      <x:c r="L32" s="5">
        <x:v>0</x:v>
      </x:c>
      <x:c r="M32" s="5">
        <x:v>0</x:v>
      </x:c>
      <x:c r="N32" s="5">
        <x:v>0</x:v>
      </x:c>
      <x:c r="O32" s="5">
        <x:v>0</x:v>
      </x:c>
      <x:c r="P32" s="3" t="s">
        <x:v>30</x:v>
      </x:c>
    </x:row>
    <x:row r="33" ht="31">
      <x:c r="A33">
        <x:v>32</x:v>
      </x:c>
      <x:c r="B33" t="s">
        <x:v>66</x:v>
      </x:c>
      <x:c r="C33" s="3" t="s">
        <x:v>73</x:v>
      </x:c>
      <x:c r="D33" s="4">
        <x:v>8</x:v>
      </x:c>
      <x:c r="E33" s="4">
        <x:v>0</x:v>
      </x:c>
      <x:c r="F33" s="4" t="s">
        <x:v>69</x:v>
      </x:c>
      <x:c r="G33" s="3" t="s">
        <x:v>70</x:v>
      </x:c>
      <x:c r="H33" s="5">
        <x:v>0</x:v>
      </x:c>
      <x:c r="I33" s="5">
        <x:v>0</x:v>
      </x:c>
      <x:c r="J33" s="5">
        <x:v>0</x:v>
      </x:c>
      <x:c r="K33" s="5">
        <x:v>0</x:v>
      </x:c>
      <x:c r="L33" s="5">
        <x:v>0</x:v>
      </x:c>
      <x:c r="M33" s="5">
        <x:v>0</x:v>
      </x:c>
      <x:c r="N33" s="5">
        <x:v>0</x:v>
      </x:c>
      <x:c r="O33" s="5">
        <x:v>0</x:v>
      </x:c>
      <x:c r="P33" s="3" t="s">
        <x:v>30</x:v>
      </x:c>
    </x:row>
    <x:row r="34" ht="126" customHeight="1">
      <x:c r="A34">
        <x:v>33</x:v>
      </x:c>
      <x:c r="B34" t="s">
        <x:v>74</x:v>
      </x:c>
      <x:c r="C34" s="9" t="s">
        <x:v>75</x:v>
      </x:c>
      <x:c r="D34" s="10">
        <x:v>25</x:v>
      </x:c>
      <x:c r="E34" s="10" t="n">
        <x:v>35</x:v>
      </x:c>
      <x:c r="F34" s="10" t="str">
        <x:v>En curso</x:v>
      </x:c>
      <x:c r="G34" s="9" t="str">
        <x:v>Aarón Mayorga, Luis Martínez, Daniel Pulido</x:v>
      </x:c>
      <x:c r="H34" s="11">
        <x:v>0</x:v>
      </x:c>
      <x:c r="I34" s="11" t="n">
        <x:v>3.1</x:v>
      </x:c>
      <x:c r="J34" s="11" t="n">
        <x:v>2.9</x:v>
      </x:c>
      <x:c r="K34" s="11" t="n">
        <x:v>4</x:v>
      </x:c>
      <x:c r="L34" s="11">
        <x:v>0</x:v>
      </x:c>
      <x:c r="M34" s="11">
        <x:v>0</x:v>
      </x:c>
      <x:c r="N34" s="11">
        <x:v>0</x:v>
      </x:c>
      <x:c r="O34" s="11" t="n">
        <x:f>SUM(H34:N34)</x:f>
        <x:v>10</x:v>
      </x:c>
      <x:c r="P34" s="9" t="str">
        <x:v>🟠 Optimizado Actualización 27/08: Release A remoto del Home aplicado y verificado; despliegue integral, Release B y cinco migraciones de completitud permanecen pendientes. Horas estimadas del corte: Aarón 2.1 h; Luis Martínez 2.9 h. Actualización 04/09: Infraestructura Azure y App Service, workflows, OIDC y despliegues dirigidos de Supabase avanzaron. Sigue en preproducción, sin publicación integral ni aceptación. Horas estimadas del corte: Aarón 1.0 h; Daniel 4.0 h.</x:v>
      </x:c>
    </x:row>
    <x:row r="35" ht="30" customHeight="1">
      <x:c r="A35">
        <x:v>34</x:v>
      </x:c>
      <x:c r="B35" t="s">
        <x:v>74</x:v>
      </x:c>
      <x:c r="C35" s="3" t="s">
        <x:v>76</x:v>
      </x:c>
      <x:c r="D35" s="4">
        <x:v>0</x:v>
      </x:c>
      <x:c r="E35" s="4">
        <x:v>100</x:v>
      </x:c>
      <x:c r="F35" s="4" t="s">
        <x:v>18</x:v>
      </x:c>
      <x:c r="G35" s="3" t="s">
        <x:v>48</x:v>
      </x:c>
      <x:c r="H35" s="5">
        <x:v>0</x:v>
      </x:c>
      <x:c r="I35" s="5">
        <x:v>0</x:v>
      </x:c>
      <x:c r="J35" s="5">
        <x:v>0</x:v>
      </x:c>
      <x:c r="K35" s="5">
        <x:v>0</x:v>
      </x:c>
      <x:c r="L35" s="5">
        <x:v>0</x:v>
      </x:c>
      <x:c r="M35" s="5">
        <x:v>0</x:v>
      </x:c>
      <x:c r="N35" s="5">
        <x:v>0</x:v>
      </x:c>
      <x:c r="O35" s="5">
        <x:v>0</x:v>
      </x:c>
      <x:c r="P35" s="3" t="s">
        <x:v>36</x:v>
      </x:c>
    </x:row>
    <x:row r="36" ht="15.5">
      <x:c r="A36">
        <x:v>35</x:v>
      </x:c>
      <x:c r="B36" t="s">
        <x:v>74</x:v>
      </x:c>
      <x:c r="C36" s="3" t="s">
        <x:v>77</x:v>
      </x:c>
      <x:c r="D36" s="4">
        <x:v>20</x:v>
      </x:c>
      <x:c r="E36" s="4">
        <x:v>0</x:v>
      </x:c>
      <x:c r="F36" s="4" t="s">
        <x:v>69</x:v>
      </x:c>
      <x:c r="G36" s="3" t="s">
        <x:v>78</x:v>
      </x:c>
      <x:c r="H36" s="5">
        <x:v>0</x:v>
      </x:c>
      <x:c r="I36" s="5">
        <x:v>0</x:v>
      </x:c>
      <x:c r="J36" s="5">
        <x:v>0</x:v>
      </x:c>
      <x:c r="K36" s="5">
        <x:v>0</x:v>
      </x:c>
      <x:c r="L36" s="5">
        <x:v>0</x:v>
      </x:c>
      <x:c r="M36" s="5">
        <x:v>0</x:v>
      </x:c>
      <x:c r="N36" s="5">
        <x:v>0</x:v>
      </x:c>
      <x:c r="O36" s="5">
        <x:v>0</x:v>
      </x:c>
      <x:c r="P36" s="3" t="s">
        <x:v>30</x:v>
      </x:c>
    </x:row>
    <x:row r="37" ht="15.5">
      <x:c r="A37">
        <x:v>36</x:v>
      </x:c>
      <x:c r="B37" t="s">
        <x:v>74</x:v>
      </x:c>
      <x:c r="C37" s="3" t="s">
        <x:v>79</x:v>
      </x:c>
      <x:c r="D37" s="4">
        <x:v>18</x:v>
      </x:c>
      <x:c r="E37" s="4">
        <x:v>0</x:v>
      </x:c>
      <x:c r="F37" s="4" t="s">
        <x:v>69</x:v>
      </x:c>
      <x:c r="G37" s="3" t="s">
        <x:v>80</x:v>
      </x:c>
      <x:c r="H37" s="5">
        <x:v>0</x:v>
      </x:c>
      <x:c r="I37" s="5">
        <x:v>0</x:v>
      </x:c>
      <x:c r="J37" s="5">
        <x:v>0</x:v>
      </x:c>
      <x:c r="K37" s="5">
        <x:v>0</x:v>
      </x:c>
      <x:c r="L37" s="5">
        <x:v>0</x:v>
      </x:c>
      <x:c r="M37" s="5">
        <x:v>0</x:v>
      </x:c>
      <x:c r="N37" s="5">
        <x:v>0</x:v>
      </x:c>
      <x:c r="O37" s="5">
        <x:v>0</x:v>
      </x:c>
      <x:c r="P37" s="3" t="s">
        <x:v>30</x:v>
      </x:c>
    </x:row>
    <x:row r="38" ht="15.5">
      <x:c r="A38">
        <x:v>37</x:v>
      </x:c>
      <x:c r="B38" t="s">
        <x:v>81</x:v>
      </x:c>
      <x:c r="C38" s="3" t="s">
        <x:v>82</x:v>
      </x:c>
      <x:c r="D38" s="4">
        <x:v>14</x:v>
      </x:c>
      <x:c r="E38" s="4">
        <x:v>20</x:v>
      </x:c>
      <x:c r="F38" s="4" t="s">
        <x:v>32</x:v>
      </x:c>
      <x:c r="G38" s="3" t="s">
        <x:v>22</x:v>
      </x:c>
      <x:c r="H38" s="5">
        <x:v>3</x:v>
      </x:c>
      <x:c r="I38" s="5">
        <x:v>0</x:v>
      </x:c>
      <x:c r="J38" s="5">
        <x:v>0</x:v>
      </x:c>
      <x:c r="K38" s="5">
        <x:v>0</x:v>
      </x:c>
      <x:c r="L38" s="5">
        <x:v>0</x:v>
      </x:c>
      <x:c r="M38" s="5">
        <x:v>0</x:v>
      </x:c>
      <x:c r="N38" s="5">
        <x:v>0</x:v>
      </x:c>
      <x:c r="O38" s="5">
        <x:v>3</x:v>
      </x:c>
      <x:c r="P38" s="3" t="s">
        <x:v>30</x:v>
      </x:c>
    </x:row>
    <x:row r="39" ht="15.5">
      <x:c r="A39">
        <x:v>38</x:v>
      </x:c>
      <x:c r="B39" t="s">
        <x:v>81</x:v>
      </x:c>
      <x:c r="C39" s="3" t="s">
        <x:v>83</x:v>
      </x:c>
      <x:c r="D39" s="4">
        <x:v>8</x:v>
      </x:c>
      <x:c r="E39" s="4">
        <x:v>0</x:v>
      </x:c>
      <x:c r="F39" s="4" t="s">
        <x:v>69</x:v>
      </x:c>
      <x:c r="G39" s="3" t="s">
        <x:v>84</x:v>
      </x:c>
      <x:c r="H39" s="5">
        <x:v>0</x:v>
      </x:c>
      <x:c r="I39" s="5">
        <x:v>0</x:v>
      </x:c>
      <x:c r="J39" s="5">
        <x:v>0</x:v>
      </x:c>
      <x:c r="K39" s="5">
        <x:v>0</x:v>
      </x:c>
      <x:c r="L39" s="5">
        <x:v>0</x:v>
      </x:c>
      <x:c r="M39" s="5">
        <x:v>0</x:v>
      </x:c>
      <x:c r="N39" s="5">
        <x:v>0</x:v>
      </x:c>
      <x:c r="O39" s="5">
        <x:v>0</x:v>
      </x:c>
      <x:c r="P39" s="3" t="s">
        <x:v>30</x:v>
      </x:c>
    </x:row>
    <x:row r="40" ht="15.5">
      <x:c r="A40">
        <x:v>39</x:v>
      </x:c>
      <x:c r="B40" t="s">
        <x:v>81</x:v>
      </x:c>
      <x:c r="C40" s="3" t="s">
        <x:v>85</x:v>
      </x:c>
      <x:c r="D40" s="4">
        <x:v>32</x:v>
      </x:c>
      <x:c r="E40" s="4">
        <x:v>0</x:v>
      </x:c>
      <x:c r="F40" s="4" t="s">
        <x:v>69</x:v>
      </x:c>
      <x:c r="G40" s="3" t="s">
        <x:v>86</x:v>
      </x:c>
      <x:c r="H40" s="5">
        <x:v>0</x:v>
      </x:c>
      <x:c r="I40" s="5">
        <x:v>0</x:v>
      </x:c>
      <x:c r="J40" s="5">
        <x:v>0</x:v>
      </x:c>
      <x:c r="K40" s="5">
        <x:v>0</x:v>
      </x:c>
      <x:c r="L40" s="5">
        <x:v>0</x:v>
      </x:c>
      <x:c r="M40" s="5">
        <x:v>0</x:v>
      </x:c>
      <x:c r="N40" s="5">
        <x:v>0</x:v>
      </x:c>
      <x:c r="O40" s="5">
        <x:v>0</x:v>
      </x:c>
      <x:c r="P40" s="3" t="s">
        <x:v>30</x:v>
      </x:c>
    </x:row>
    <x:row r="41" ht="15.5">
      <x:c r="A41">
        <x:v>40</x:v>
      </x:c>
      <x:c r="B41" t="s">
        <x:v>81</x:v>
      </x:c>
      <x:c r="C41" s="3" t="s">
        <x:v>87</x:v>
      </x:c>
      <x:c r="D41" s="4">
        <x:v>12</x:v>
      </x:c>
      <x:c r="E41" s="4">
        <x:v>0</x:v>
      </x:c>
      <x:c r="F41" s="4" t="s">
        <x:v>69</x:v>
      </x:c>
      <x:c r="G41" s="3" t="s">
        <x:v>88</x:v>
      </x:c>
      <x:c r="H41" s="5">
        <x:v>0</x:v>
      </x:c>
      <x:c r="I41" s="5">
        <x:v>0</x:v>
      </x:c>
      <x:c r="J41" s="5">
        <x:v>0</x:v>
      </x:c>
      <x:c r="K41" s="5">
        <x:v>0</x:v>
      </x:c>
      <x:c r="L41" s="5">
        <x:v>0</x:v>
      </x:c>
      <x:c r="M41" s="5">
        <x:v>0</x:v>
      </x:c>
      <x:c r="N41" s="5">
        <x:v>0</x:v>
      </x:c>
      <x:c r="O41" s="5">
        <x:v>0</x:v>
      </x:c>
      <x:c r="P41" s="3" t="s">
        <x:v>30</x:v>
      </x:c>
    </x:row>
    <x:row r="42" ht="15.5">
      <x:c r="A42">
        <x:v>41</x:v>
      </x:c>
      <x:c r="B42" t="s">
        <x:v>81</x:v>
      </x:c>
      <x:c r="C42" s="3" t="s">
        <x:v>89</x:v>
      </x:c>
      <x:c r="D42" s="4">
        <x:v>14</x:v>
      </x:c>
      <x:c r="E42" s="4">
        <x:v>0</x:v>
      </x:c>
      <x:c r="F42" s="4" t="s">
        <x:v>69</x:v>
      </x:c>
      <x:c r="G42" s="3" t="s">
        <x:v>90</x:v>
      </x:c>
      <x:c r="H42" s="5">
        <x:v>0</x:v>
      </x:c>
      <x:c r="I42" s="5">
        <x:v>0</x:v>
      </x:c>
      <x:c r="J42" s="5">
        <x:v>0</x:v>
      </x:c>
      <x:c r="K42" s="5">
        <x:v>0</x:v>
      </x:c>
      <x:c r="L42" s="5">
        <x:v>0</x:v>
      </x:c>
      <x:c r="M42" s="5">
        <x:v>0</x:v>
      </x:c>
      <x:c r="N42" s="5">
        <x:v>0</x:v>
      </x:c>
      <x:c r="O42" s="5">
        <x:v>0</x:v>
      </x:c>
      <x:c r="P42" s="3" t="s">
        <x:v>30</x:v>
      </x:c>
    </x:row>
    <x:row r="43" ht="15.5">
      <x:c r="A43">
        <x:v>42</x:v>
      </x:c>
      <x:c r="B43" t="s">
        <x:v>81</x:v>
      </x:c>
      <x:c r="C43" s="3" t="s">
        <x:v>91</x:v>
      </x:c>
      <x:c r="D43" s="4">
        <x:v>20</x:v>
      </x:c>
      <x:c r="E43" s="4">
        <x:v>0</x:v>
      </x:c>
      <x:c r="F43" s="4" t="s">
        <x:v>69</x:v>
      </x:c>
      <x:c r="G43" s="3" t="s">
        <x:v>86</x:v>
      </x:c>
      <x:c r="H43" s="5">
        <x:v>0</x:v>
      </x:c>
      <x:c r="I43" s="5">
        <x:v>0</x:v>
      </x:c>
      <x:c r="J43" s="5">
        <x:v>0</x:v>
      </x:c>
      <x:c r="K43" s="5">
        <x:v>0</x:v>
      </x:c>
      <x:c r="L43" s="5">
        <x:v>0</x:v>
      </x:c>
      <x:c r="M43" s="5">
        <x:v>0</x:v>
      </x:c>
      <x:c r="N43" s="5">
        <x:v>0</x:v>
      </x:c>
      <x:c r="O43" s="5">
        <x:v>0</x:v>
      </x:c>
      <x:c r="P43" s="3" t="s">
        <x:v>30</x:v>
      </x:c>
    </x:row>
    <x:row r="44" ht="15.5">
      <x:c r="A44">
        <x:v>43</x:v>
      </x:c>
      <x:c r="B44" t="s">
        <x:v>81</x:v>
      </x:c>
      <x:c r="C44" s="3" t="s">
        <x:v>92</x:v>
      </x:c>
      <x:c r="D44" s="4">
        <x:v>16</x:v>
      </x:c>
      <x:c r="E44" s="4">
        <x:v>0</x:v>
      </x:c>
      <x:c r="F44" s="4" t="s">
        <x:v>69</x:v>
      </x:c>
      <x:c r="G44" s="3" t="s">
        <x:v>93</x:v>
      </x:c>
      <x:c r="H44" s="5">
        <x:v>0</x:v>
      </x:c>
      <x:c r="I44" s="5">
        <x:v>0</x:v>
      </x:c>
      <x:c r="J44" s="5">
        <x:v>0</x:v>
      </x:c>
      <x:c r="K44" s="5">
        <x:v>0</x:v>
      </x:c>
      <x:c r="L44" s="5">
        <x:v>0</x:v>
      </x:c>
      <x:c r="M44" s="5">
        <x:v>0</x:v>
      </x:c>
      <x:c r="N44" s="5">
        <x:v>0</x:v>
      </x:c>
      <x:c r="O44" s="5">
        <x:v>0</x:v>
      </x:c>
      <x:c r="P44" s="3" t="s">
        <x:v>30</x:v>
      </x:c>
    </x:row>
    <x:row r="45" ht="15.5">
      <x:c r="A45">
        <x:v>44</x:v>
      </x:c>
      <x:c r="B45" t="s">
        <x:v>81</x:v>
      </x:c>
      <x:c r="C45" s="3" t="s">
        <x:v>94</x:v>
      </x:c>
      <x:c r="D45" s="4">
        <x:v>6</x:v>
      </x:c>
      <x:c r="E45" s="4">
        <x:v>0</x:v>
      </x:c>
      <x:c r="F45" s="4" t="s">
        <x:v>69</x:v>
      </x:c>
      <x:c r="G45" s="3" t="s">
        <x:v>90</x:v>
      </x:c>
      <x:c r="H45" s="5">
        <x:v>0</x:v>
      </x:c>
      <x:c r="I45" s="5">
        <x:v>0</x:v>
      </x:c>
      <x:c r="J45" s="5">
        <x:v>0</x:v>
      </x:c>
      <x:c r="K45" s="5">
        <x:v>0</x:v>
      </x:c>
      <x:c r="L45" s="5">
        <x:v>0</x:v>
      </x:c>
      <x:c r="M45" s="5">
        <x:v>0</x:v>
      </x:c>
      <x:c r="N45" s="5">
        <x:v>0</x:v>
      </x:c>
      <x:c r="O45" s="5">
        <x:v>0</x:v>
      </x:c>
      <x:c r="P45" s="3" t="s">
        <x:v>30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4.5"/>
  <x:cols>
    <x:col min="1" max="1" width="24.83203125" customWidth="1"/>
    <x:col min="2" max="2" width="8.83203125" customWidth="1"/>
    <x:col min="3" max="3" width="12.83203125" customWidth="1"/>
    <x:col min="4" max="4" width="11.83203125" customWidth="1"/>
    <x:col min="5" max="5" width="13.83203125" customWidth="1"/>
    <x:col min="6" max="6" width="10.83203125" customWidth="1"/>
  </x:cols>
  <x:sheetData>
    <x:row r="1" ht="15.5">
      <x:c r="A1" t="s">
        <x:v>1</x:v>
      </x:c>
      <x:c r="B1" t="s">
        <x:v>95</x:v>
      </x:c>
      <x:c r="C1" t="s">
        <x:v>96</x:v>
      </x:c>
      <x:c r="D1" t="s">
        <x:v>3</x:v>
      </x:c>
      <x:c r="E1" t="s">
        <x:v>97</x:v>
      </x:c>
      <x:c r="F1" t="s">
        <x:v>4</x:v>
      </x:c>
    </x:row>
    <x:row r="2" ht="15.5">
      <x:c r="A2" t="str">
        <x:v>Levantamiento</x:v>
      </x:c>
      <x:c r="B2" t="n">
        <x:v>3</x:v>
      </x:c>
      <x:c r="C2" t="n">
        <x:v>3</x:v>
      </x:c>
      <x:c r="D2" s="1" t="n">
        <x:v>36</x:v>
      </x:c>
      <x:c r="E2" s="1" t="n">
        <x:v>79</x:v>
      </x:c>
      <x:c r="F2" s="1" t="n">
        <x:v>100</x:v>
      </x:c>
    </x:row>
    <x:row r="3" ht="15.5">
      <x:c r="A3" t="str">
        <x:v>Diseño</x:v>
      </x:c>
      <x:c r="B3" t="n">
        <x:v>13</x:v>
      </x:c>
      <x:c r="C3" t="n">
        <x:v>5</x:v>
      </x:c>
      <x:c r="D3" s="1" t="n">
        <x:v>109</x:v>
      </x:c>
      <x:c r="E3" s="1" t="n">
        <x:v>174.7</x:v>
      </x:c>
      <x:c r="F3" s="1" t="n">
        <x:v>95.8</x:v>
      </x:c>
    </x:row>
    <x:row r="4" ht="15.5">
      <x:c r="A4" t="str">
        <x:v>Desarrollo</x:v>
      </x:c>
      <x:c r="B4" t="n">
        <x:v>12</x:v>
      </x:c>
      <x:c r="C4" t="n">
        <x:v>2</x:v>
      </x:c>
      <x:c r="D4" s="1" t="n">
        <x:v>781</x:v>
      </x:c>
      <x:c r="E4" s="1" t="n">
        <x:v>613.9</x:v>
      </x:c>
      <x:c r="F4" s="1" t="n">
        <x:v>77.7</x:v>
      </x:c>
    </x:row>
    <x:row r="5" ht="15.5">
      <x:c r="A5" t="str">
        <x:v>Pruebas</x:v>
      </x:c>
      <x:c r="B5" t="n">
        <x:v>4</x:v>
      </x:c>
      <x:c r="C5" t="n">
        <x:v>0</x:v>
      </x:c>
      <x:c r="D5" s="1" t="n">
        <x:v>67</x:v>
      </x:c>
      <x:c r="E5" s="1" t="n">
        <x:v>22.4</x:v>
      </x:c>
      <x:c r="F5" s="1" t="n">
        <x:v>24.1</x:v>
      </x:c>
    </x:row>
    <x:row r="6" ht="15.5">
      <x:c r="A6" t="str">
        <x:v>Impl. y Transferencia</x:v>
      </x:c>
      <x:c r="B6" t="n">
        <x:v>4</x:v>
      </x:c>
      <x:c r="C6" t="n">
        <x:v>1</x:v>
      </x:c>
      <x:c r="D6" s="1" t="n">
        <x:v>63</x:v>
      </x:c>
      <x:c r="E6" s="1" t="n">
        <x:v>10</x:v>
      </x:c>
      <x:c r="F6" s="1" t="n">
        <x:v>13.9</x:v>
      </x:c>
    </x:row>
    <x:row r="7" ht="15.5">
      <x:c r="A7" t="str">
        <x:v>Migración de Datos</x:v>
      </x:c>
      <x:c r="B7" t="n">
        <x:v>8</x:v>
      </x:c>
      <x:c r="C7" t="n">
        <x:v>0</x:v>
      </x:c>
      <x:c r="D7" s="1" t="n">
        <x:v>122</x:v>
      </x:c>
      <x:c r="E7" s="1" t="n">
        <x:v>3</x:v>
      </x:c>
      <x:c r="F7" s="1" t="n">
        <x:v>2.3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RowHeight="14.5"/>
  <x:cols>
    <x:col min="1" max="1" width="20.83203125" customWidth="1"/>
    <x:col min="2" max="2" width="6.83203125" customWidth="1"/>
    <x:col min="3" max="3" width="12.83203125" customWidth="1"/>
    <x:col min="4" max="4" width="16.83203125" customWidth="1"/>
    <x:col min="5" max="5" width="13.83203125" customWidth="1"/>
  </x:cols>
  <x:sheetData>
    <x:row r="1" ht="15.5">
      <x:c r="A1" t="s">
        <x:v>98</x:v>
      </x:c>
      <x:c r="B1" t="s">
        <x:v>99</x:v>
      </x:c>
      <x:c r="C1" t="s">
        <x:v>100</x:v>
      </x:c>
      <x:c r="D1" t="s">
        <x:v>101</x:v>
      </x:c>
      <x:c r="E1" t="s">
        <x:v>97</x:v>
      </x:c>
    </x:row>
    <x:row r="2" ht="15.5">
      <x:c r="A2" t="s">
        <x:v>102</x:v>
      </x:c>
      <x:c r="B2" t="s">
        <x:v>103</x:v>
      </x:c>
      <x:c r="C2" t="s">
        <x:v>104</x:v>
      </x:c>
      <x:c r="D2" t="n">
        <x:v>17</x:v>
      </x:c>
      <x:c r="E2" s="1" t="n">
        <x:v>7</x:v>
      </x:c>
    </x:row>
    <x:row r="3" ht="15.5">
      <x:c r="A3" t="s">
        <x:v>29</x:v>
      </x:c>
      <x:c r="B3" t="s">
        <x:v>103</x:v>
      </x:c>
      <x:c r="C3" t="s">
        <x:v>105</x:v>
      </x:c>
      <x:c r="D3" t="n">
        <x:v>33</x:v>
      </x:c>
      <x:c r="E3" s="1" t="n">
        <x:v>439</x:v>
      </x:c>
    </x:row>
    <x:row r="4" ht="15.5">
      <x:c r="A4" t="s">
        <x:v>106</x:v>
      </x:c>
      <x:c r="B4" t="s">
        <x:v>103</x:v>
      </x:c>
      <x:c r="C4" t="s">
        <x:v>107</x:v>
      </x:c>
      <x:c r="D4" t="n">
        <x:v>23</x:v>
      </x:c>
      <x:c r="E4" s="1" t="n">
        <x:v>374</x:v>
      </x:c>
    </x:row>
    <x:row r="5" ht="15.5">
      <x:c r="A5" t="s">
        <x:v>35</x:v>
      </x:c>
      <x:c r="B5" t="s">
        <x:v>108</x:v>
      </x:c>
      <x:c r="C5" t="s">
        <x:v>109</x:v>
      </x:c>
      <x:c r="D5" t="n">
        <x:v>12</x:v>
      </x:c>
      <x:c r="E5" s="1" t="n">
        <x:v>70</x:v>
      </x:c>
    </x:row>
    <x:row r="6" ht="15.5">
      <x:c r="A6" t="s">
        <x:v>110</x:v>
      </x:c>
      <x:c r="B6" t="s">
        <x:v>111</x:v>
      </x:c>
      <x:c r="C6" t="s">
        <x:v>109</x:v>
      </x:c>
      <x:c r="D6" t="n">
        <x:v>8</x:v>
      </x:c>
      <x:c r="E6" s="1" t="n">
        <x:v>9</x:v>
      </x:c>
    </x:row>
    <x:row r="7" ht="15.5">
      <x:c r="A7" t="s">
        <x:v>112</x:v>
      </x:c>
      <x:c r="B7" t="s">
        <x:v>113</x:v>
      </x:c>
      <x:c r="C7" t="s">
        <x:v>114</x:v>
      </x:c>
      <x:c r="D7" t="n">
        <x:v>3</x:v>
      </x:c>
      <x:c r="E7" s="1" t="n">
        <x:v>4</x:v>
      </x:c>
    </x:row>
    <x:row r="8" ht="15.5">
      <x:c r="A8" t="s">
        <x:v>115</x:v>
      </x:c>
      <x:c r="B8" t="s">
        <x:v>116</x:v>
      </x:c>
      <x:c r="C8" t="s">
        <x:v>117</x:v>
      </x:c>
      <x:c r="D8" t="n">
        <x:v>3</x:v>
      </x:c>
      <x:c r="E8" s="1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RowHeight="14.5"/>
  <x:cols>
    <x:col min="1" max="2" width="15" customWidth="1"/>
    <x:col min="3" max="8" width="16" customWidth="1"/>
    <x:col min="9" max="9" width="28" customWidth="1"/>
    <x:col min="10" max="10" width="14" customWidth="1"/>
    <x:col min="11" max="11" width="72" customWidth="1"/>
  </x:cols>
  <x:sheetData>
    <x:row r="1" ht="32" customHeight="1">
      <x:c r="A1" t="s">
        <x:v>118</x:v>
      </x:c>
      <x:c r="B1" t="s">
        <x:v>119</x:v>
      </x:c>
      <x:c r="C1" t="s">
        <x:v>16</x:v>
      </x:c>
      <x:c r="D1" t="s">
        <x:v>27</x:v>
      </x:c>
      <x:c r="E1" t="s">
        <x:v>52</x:v>
      </x:c>
      <x:c r="F1" t="s">
        <x:v>66</x:v>
      </x:c>
      <x:c r="G1" t="s">
        <x:v>120</x:v>
      </x:c>
      <x:c r="H1" t="s">
        <x:v>121</x:v>
      </x:c>
      <x:c r="I1" t="s">
        <x:v>122</x:v>
      </x:c>
      <x:c r="J1" t="s">
        <x:v>123</x:v>
      </x:c>
      <x:c r="K1" t="s">
        <x:v>124</x:v>
      </x:c>
    </x:row>
    <x:row r="2" ht="77.5">
      <x:c r="A2" s="6">
        <x:v>46238</x:v>
      </x:c>
      <x:c r="B2" s="7">
        <x:v>0.312</x:v>
      </x:c>
      <x:c r="C2" s="7">
        <x:v>1</x:v>
      </x:c>
      <x:c r="D2" s="7">
        <x:v>0.78900000000000003</x:v>
      </x:c>
      <x:c r="E2" s="7">
        <x:v>0.30399999999999999</x:v>
      </x:c>
      <x:c r="F2" s="7">
        <x:v>8.8999999999999996E-2</x:v>
      </x:c>
      <x:c r="G2" s="7">
        <x:v>0</x:v>
      </x:c>
      <x:c r="H2" s="7">
        <x:v>2.3E-2</x:v>
      </x:c>
      <x:c r="I2" s="4" t="s">
        <x:v>125</x:v>
      </x:c>
      <x:c r="J2" s="4" t="s">
        <x:v>126</x:v>
      </x:c>
      <x:c r="K2" s="3" t="s">
        <x:v>127</x:v>
      </x:c>
    </x:row>
    <x:row r="3" ht="155">
      <x:c r="A3" s="6">
        <x:v>46247.75</x:v>
      </x:c>
      <x:c r="B3" s="7">
        <x:v>0.45399999999999996</x:v>
      </x:c>
      <x:c r="C3" s="7">
        <x:v>1</x:v>
      </x:c>
      <x:c r="D3" s="7">
        <x:v>0.92799999999999994</x:v>
      </x:c>
      <x:c r="E3" s="7">
        <x:v>0.49099999999999999</x:v>
      </x:c>
      <x:c r="F3" s="7">
        <x:v>0.17800000000000002</x:v>
      </x:c>
      <x:c r="G3" s="7">
        <x:v>0</x:v>
      </x:c>
      <x:c r="H3" s="7">
        <x:v>2.3E-2</x:v>
      </x:c>
      <x:c r="I3" s="4" t="s">
        <x:v>125</x:v>
      </x:c>
      <x:c r="J3" s="4" t="s">
        <x:v>128</x:v>
      </x:c>
      <x:c r="K3" s="3" t="s">
        <x:v>129</x:v>
      </x:c>
    </x:row>
    <x:row r="4" ht="139.5">
      <x:c r="A4" s="6">
        <x:v>46261</x:v>
      </x:c>
      <x:c r="B4" s="7">
        <x:v>0.60299999999999998</x:v>
      </x:c>
      <x:c r="C4" s="7">
        <x:v>1</x:v>
      </x:c>
      <x:c r="D4" s="7">
        <x:v>0.95499999999999996</x:v>
      </x:c>
      <x:c r="E4" s="7">
        <x:v>0.70099999999999996</x:v>
      </x:c>
      <x:c r="F4" s="7">
        <x:v>0.22800000000000001</x:v>
      </x:c>
      <x:c r="G4" s="7">
        <x:v>7.9000000000000001E-2</x:v>
      </x:c>
      <x:c r="H4" s="7">
        <x:v>2.3E-2</x:v>
      </x:c>
      <x:c r="I4" s="4" t="s">
        <x:v>125</x:v>
      </x:c>
      <x:c r="J4" s="4" t="s">
        <x:v>130</x:v>
      </x:c>
      <x:c r="K4" s="3" t="s">
        <x:v>131</x:v>
      </x:c>
    </x:row>
    <x:row r="5" ht="180" customHeight="1">
      <x:c r="A5" s="15" t="n">
        <x:v>46269.5</x:v>
      </x:c>
      <x:c r="B5" s="16" t="n">
        <x:v>0.6579999999999999</x:v>
      </x:c>
      <x:c r="C5" s="16" t="n">
        <x:v>1</x:v>
      </x:c>
      <x:c r="D5" s="16" t="n">
        <x:v>0.958</x:v>
      </x:c>
      <x:c r="E5" s="16" t="n">
        <x:v>0.777</x:v>
      </x:c>
      <x:c r="F5" s="16" t="n">
        <x:v>0.24100000000000002</x:v>
      </x:c>
      <x:c r="G5" s="16" t="n">
        <x:v>0.139</x:v>
      </x:c>
      <x:c r="H5" s="16" t="n">
        <x:v>0.023</x:v>
      </x:c>
      <x:c r="I5" s="10" t="str">
        <x:v>main</x:v>
      </x:c>
      <x:c r="J5" s="10" t="str">
        <x:v>436667f..ad9e37c</x:v>
      </x:c>
      <x:c r="K5" s="9" t="str">
        <x:v>Corte posterior a FARO main@436667f hasta origin/main@ad9e37c: 55 commits (52 sin merge y 3 merges), 343 archivos y 9 días-persona nuevos después de descontar el 27/08 ya contabilizado para Luis. Se integraron revisión GTRS con observaciones, decisiones, trazabilidad y reasignación; registro de clientes aceptados full-stack; IAM/Entra en preproducción e infraestructura Azure. Horas estimadas: 72.0 h (Aarón 32.0 h; Luis Martínez 32.0 h; Daniel Pulido 8.0 h), acumulado 903.0 h. Avance general 65.8%. Pendientes determinantes: formulario y revisión PAC/PACC, lista oficial condicionada por PACC, correos de extremo a extremo, UAT, publicación integral y migración de datos.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RowHeight="14.5"/>
  <x:cols>
    <x:col min="1" max="1" width="50.83203125" customWidth="1"/>
    <x:col min="2" max="2" width="25.83203125" customWidth="1"/>
    <x:col min="3" max="3" width="16.83203125" customWidth="1"/>
    <x:col min="4" max="4" width="20.83203125" customWidth="1"/>
    <x:col min="5" max="5" width="26.83203125" customWidth="1"/>
    <x:col min="6" max="6" width="12.83203125" customWidth="1"/>
    <x:col min="7" max="7" width="38.83203125" customWidth="1"/>
    <x:col min="8" max="8" width="42.83203125" customWidth="1"/>
    <x:col min="9" max="9" width="52.83203125" customWidth="1"/>
  </x:cols>
  <x:sheetData>
    <x:row r="1" ht="32" customHeight="1">
      <x:c r="A1" s="3" t="s">
        <x:v>132</x:v>
      </x:c>
      <x:c r="B1" s="3" t="s">
        <x:v>133</x:v>
      </x:c>
      <x:c r="C1" s="3" t="s">
        <x:v>118</x:v>
      </x:c>
      <x:c r="D1" s="3" t="s">
        <x:v>134</x:v>
      </x:c>
      <x:c r="E1" s="3" t="s">
        <x:v>135</x:v>
      </x:c>
      <x:c r="F1" s="3" t="s">
        <x:v>99</x:v>
      </x:c>
      <x:c r="G1" s="3" t="s">
        <x:v>136</x:v>
      </x:c>
      <x:c r="H1" s="3" t="s">
        <x:v>137</x:v>
      </x:c>
      <x:c r="I1" s="3" t="s">
        <x:v>138</x:v>
      </x:c>
    </x:row>
    <x:row r="2" ht="48" customHeight="1">
      <x:c r="A2" s="3" t="s">
        <x:v>139</x:v>
      </x:c>
      <x:c r="B2" s="3" t="s">
        <x:v>140</x:v>
      </x:c>
      <x:c r="C2" s="3" t="s">
        <x:v>141</x:v>
      </x:c>
      <x:c r="D2" s="3" t="s">
        <x:v>142</x:v>
      </x:c>
      <x:c r="E2" s="3" t="s">
        <x:v>29</x:v>
      </x:c>
      <x:c r="F2" s="3" t="s">
        <x:v>103</x:v>
      </x:c>
      <x:c r="G2" s="3" t="s">
        <x:v>143</x:v>
      </x:c>
      <x:c r="H2" s="3" t="s">
        <x:v>144</x:v>
      </x:c>
      <x:c r="I2" s="3" t="s">
        <x:v>145</x:v>
      </x:c>
    </x:row>
    <x:row r="3" ht="36" customHeight="1">
      <x:c r="A3" t="str">
        <x:v>01a0437e-6b05-7f42-a15a-e9a58c829943-20260904</x:v>
      </x:c>
      <x:c r="B3" s="17" t="str">
        <x:v>UTC 2026-09-04T21:50:19.224Z</x:v>
      </x:c>
      <x:c r="C3" t="str">
        <x:v>2026-09-04</x:v>
      </x:c>
      <x:c r="D3" t="str">
        <x:v>aaron</x:v>
      </x:c>
      <x:c r="E3" t="str">
        <x:v>Aarón Mayorga</x:v>
      </x:c>
      <x:c r="F3" t="str">
        <x:v>DEV</x:v>
      </x:c>
      <x:c r="G3" t="str">
        <x:v>Actualización manual asistida por Codex</x:v>
      </x:c>
      <x:c r="H3" t="str">
        <x:v>FARO_Cronograma_2026-09-04.xlsx</x:v>
      </x:c>
      <x:c r="I3" t="str">
        <x:v>Seguimiento 3c9cc60 / FARO 436667f..ad9e37c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RowHeight="14.5"/>
  <x:cols>
    <x:col min="1" max="1" width="34" customWidth="1"/>
    <x:col min="2" max="2" width="72" customWidth="1"/>
    <x:col min="3" max="5" width="18" customWidth="1"/>
    <x:col min="6" max="6" width="8" customWidth="1"/>
  </x:cols>
  <x:sheetData>
    <x:row r="1" ht="34" customHeight="1">
      <x:c r="A1" s="2" t="s">
        <x:v>146</x:v>
      </x:c>
      <x:c r="B1" s="2"/>
      <x:c r="C1" s="2"/>
      <x:c r="D1" s="2"/>
      <x:c r="E1" s="2"/>
      <x:c r="F1" s="2"/>
    </x:row>
    <x:row r="2" ht="15.5"/>
    <x:row r="3" ht="15.5">
      <x:c r="A3" t="s">
        <x:v>147</x:v>
      </x:c>
      <x:c r="B3" t="s">
        <x:v>126</x:v>
      </x:c>
    </x:row>
    <x:row r="4" ht="15.5">
      <x:c r="A4" t="s">
        <x:v>148</x:v>
      </x:c>
      <x:c r="B4" t="s">
        <x:v>149</x:v>
      </x:c>
    </x:row>
    <x:row r="5" ht="15.5">
      <x:c r="A5" t="s">
        <x:v>150</x:v>
      </x:c>
      <x:c r="B5">
        <x:v>364</x:v>
      </x:c>
    </x:row>
    <x:row r="6" ht="15.5">
      <x:c r="A6" t="s">
        <x:v>151</x:v>
      </x:c>
      <x:c r="B6">
        <x:v>355</x:v>
      </x:c>
    </x:row>
    <x:row r="7" ht="15.5">
      <x:c r="A7" t="s">
        <x:v>152</x:v>
      </x:c>
      <x:c r="B7">
        <x:v>9</x:v>
      </x:c>
    </x:row>
    <x:row r="8" ht="15.5">
      <x:c r="A8" t="s">
        <x:v>153</x:v>
      </x:c>
      <x:c r="B8">
        <x:v>443</x:v>
      </x:c>
    </x:row>
    <x:row r="9" ht="15.5">
      <x:c r="A9" t="s">
        <x:v>154</x:v>
      </x:c>
      <x:c r="B9" t="s">
        <x:v>155</x:v>
      </x:c>
    </x:row>
    <x:row r="10" ht="15.5">
      <x:c r="A10" t="s">
        <x:v>156</x:v>
      </x:c>
      <x:c r="B10" t="s">
        <x:v>157</x:v>
      </x:c>
    </x:row>
    <x:row r="11" ht="15.5"/>
    <x:row r="12" ht="15.5">
      <x:c r="A12" t="s">
        <x:v>158</x:v>
      </x:c>
      <x:c r="B12" t="s">
        <x:v>159</x:v>
      </x:c>
      <x:c r="C12" t="s">
        <x:v>160</x:v>
      </x:c>
      <x:c r="D12" t="s">
        <x:v>161</x:v>
      </x:c>
      <x:c r="E12" t="s">
        <x:v>162</x:v>
      </x:c>
    </x:row>
    <x:row r="13" ht="15.5">
      <x:c r="A13" t="s">
        <x:v>29</x:v>
      </x:c>
      <x:c r="B13" s="1">
        <x:v>263</x:v>
      </x:c>
      <x:c r="C13" s="1">
        <x:v>7</x:v>
      </x:c>
      <x:c r="D13" s="1">
        <x:v>8</x:v>
      </x:c>
      <x:c r="E13" s="1" t="n">
        <x:f>C13*D13</x:f>
        <x:v>56</x:v>
      </x:c>
    </x:row>
    <x:row r="14" ht="15.5">
      <x:c r="A14" t="s">
        <x:v>106</x:v>
      </x:c>
      <x:c r="B14" s="1">
        <x:v>101</x:v>
      </x:c>
      <x:c r="C14" s="1">
        <x:v>9</x:v>
      </x:c>
      <x:c r="D14" s="1">
        <x:v>8</x:v>
      </x:c>
      <x:c r="E14" s="1" t="n">
        <x:f>C14*D14</x:f>
        <x:v>72</x:v>
      </x:c>
    </x:row>
    <x:row r="15" ht="15.5">
      <x:c r="A15" t="s">
        <x:v>163</x:v>
      </x:c>
      <x:c r="B15" s="1">
        <x:v>364</x:v>
      </x:c>
      <x:c r="C15" s="1">
        <x:v>16</x:v>
      </x:c>
      <x:c r="E15" s="1" t="n">
        <x:f>SUM(E13:E14)</x:f>
        <x:v>128</x:v>
      </x:c>
    </x:row>
    <x:row r="16" ht="15.5"/>
    <x:row r="17" ht="72" customHeight="1">
      <x:c r="A17" s="8" t="s">
        <x:v>164</x:v>
      </x:c>
      <x:c r="B17" s="8"/>
      <x:c r="C17" s="8"/>
      <x:c r="D17" s="8"/>
      <x:c r="E17" s="8"/>
      <x:c r="F17" s="8"/>
    </x:row>
    <x:row r="18" ht="15.5"/>
    <x:row r="19" ht="15.5">
      <x:c r="A19" t="s">
        <x:v>165</x:v>
      </x:c>
      <x:c r="B19" t="s">
        <x:v>166</x:v>
      </x:c>
      <x:c r="C19" t="s">
        <x:v>106</x:v>
      </x:c>
      <x:c r="D19" t="s">
        <x:v>167</x:v>
      </x:c>
      <x:c r="E19" t="s">
        <x:v>163</x:v>
      </x:c>
    </x:row>
    <x:row r="20" ht="15.5">
      <x:c r="A20" t="s">
        <x:v>168</x:v>
      </x:c>
      <x:c r="B20" s="1">
        <x:v>149</x:v>
      </x:c>
      <x:c r="C20" s="1">
        <x:v>36</x:v>
      </x:c>
      <x:c r="D20" s="1">
        <x:v>82</x:v>
      </x:c>
      <x:c r="E20" s="1">
        <x:v>267</x:v>
      </x:c>
    </x:row>
    <x:row r="21" ht="15.5">
      <x:c r="A21" t="s">
        <x:v>169</x:v>
      </x:c>
      <x:c r="B21" s="1">
        <x:v>56</x:v>
      </x:c>
      <x:c r="C21" s="1">
        <x:v>72</x:v>
      </x:c>
      <x:c r="D21" s="1">
        <x:v>0</x:v>
      </x:c>
      <x:c r="E21" s="1">
        <x:v>128</x:v>
      </x:c>
    </x:row>
    <x:row r="22" ht="15.5">
      <x:c r="A22" t="s">
        <x:v>170</x:v>
      </x:c>
      <x:c r="B22" s="1">
        <x:v>130</x:v>
      </x:c>
      <x:c r="C22" s="1">
        <x:v>130</x:v>
      </x:c>
      <x:c r="D22" s="1">
        <x:v>0</x:v>
      </x:c>
      <x:c r="E22" s="1">
        <x:v>260</x:v>
      </x:c>
    </x:row>
    <x:row r="23" ht="15.5">
      <x:c r="A23" t="s">
        <x:v>171</x:v>
      </x:c>
      <x:c r="B23" s="1">
        <x:v>72</x:v>
      </x:c>
      <x:c r="C23" s="1">
        <x:v>104</x:v>
      </x:c>
      <x:c r="D23" s="1">
        <x:v>0</x:v>
      </x:c>
      <x:c r="E23" s="1">
        <x:v>176</x:v>
      </x:c>
    </x:row>
    <x:row r="24" ht="15.5">
      <x:c r="A24" t="str">
        <x:v>Horas del corte 04/09</x:v>
      </x:c>
      <x:c r="B24" s="1" t="n">
        <x:v>32</x:v>
      </x:c>
      <x:c r="C24" s="1" t="n">
        <x:v>32</x:v>
      </x:c>
      <x:c r="D24" s="1" t="n">
        <x:v>8</x:v>
      </x:c>
      <x:c r="E24" s="1" t="n">
        <x:v>72</x:v>
      </x:c>
    </x:row>
    <x:row r="25">
      <x:c r="A25" t="str">
        <x:v>Acumulado</x:v>
      </x:c>
      <x:c r="B25" t="n">
        <x:f>SUM(B20:B24)</x:f>
        <x:v>439</x:v>
      </x:c>
      <x:c r="C25" t="n">
        <x:f>SUM(C20:C24)</x:f>
        <x:v>374</x:v>
      </x:c>
      <x:c r="D25" t="n">
        <x:f>SUM(D20:D24)</x:f>
        <x:v>90</x:v>
      </x:c>
      <x:c r="E25" t="n">
        <x:f>SUM(E20:E24)</x:f>
        <x:v>903</x:v>
      </x:c>
    </x:row>
    <x:row r="27" ht="34" customHeight="1">
      <x:c r="A27" s="2" t="s">
        <x:v>172</x:v>
      </x:c>
      <x:c r="B27" s="2"/>
      <x:c r="C27" s="2"/>
      <x:c r="D27" s="2"/>
      <x:c r="E27" s="2"/>
      <x:c r="F27" s="2"/>
    </x:row>
    <x:row r="29" ht="15.5">
      <x:c r="A29" t="s">
        <x:v>147</x:v>
      </x:c>
      <x:c r="B29" t="s">
        <x:v>130</x:v>
      </x:c>
    </x:row>
    <x:row r="30" ht="15.5">
      <x:c r="A30" t="s">
        <x:v>148</x:v>
      </x:c>
      <x:c r="B30" t="s">
        <x:v>173</x:v>
      </x:c>
    </x:row>
    <x:row r="31" ht="15.5">
      <x:c r="A31" t="s">
        <x:v>150</x:v>
      </x:c>
      <x:c r="B31">
        <x:v>108</x:v>
      </x:c>
    </x:row>
    <x:row r="32" ht="15.5">
      <x:c r="A32" t="s">
        <x:v>151</x:v>
      </x:c>
      <x:c r="B32">
        <x:v>94</x:v>
      </x:c>
    </x:row>
    <x:row r="33" ht="15.5">
      <x:c r="A33" t="s">
        <x:v>152</x:v>
      </x:c>
      <x:c r="B33">
        <x:v>14</x:v>
      </x:c>
    </x:row>
    <x:row r="34" ht="15.5">
      <x:c r="A34" t="s">
        <x:v>153</x:v>
      </x:c>
      <x:c r="B34">
        <x:v>367</x:v>
      </x:c>
    </x:row>
    <x:row r="35" ht="15.5">
      <x:c r="A35" t="s">
        <x:v>154</x:v>
      </x:c>
      <x:c r="B35" t="s">
        <x:v>174</x:v>
      </x:c>
    </x:row>
    <x:row r="36" ht="15.5">
      <x:c r="A36" t="s">
        <x:v>156</x:v>
      </x:c>
      <x:c r="B36" t="s">
        <x:v>175</x:v>
      </x:c>
    </x:row>
    <x:row r="38" ht="15.5">
      <x:c r="A38" t="s">
        <x:v>158</x:v>
      </x:c>
      <x:c r="B38" t="s">
        <x:v>159</x:v>
      </x:c>
      <x:c r="C38" t="s">
        <x:v>160</x:v>
      </x:c>
      <x:c r="D38" t="s">
        <x:v>161</x:v>
      </x:c>
      <x:c r="E38" t="s">
        <x:v>162</x:v>
      </x:c>
    </x:row>
    <x:row r="39" ht="15.5">
      <x:c r="A39" t="s">
        <x:v>29</x:v>
      </x:c>
      <x:c r="B39" s="1">
        <x:v>24</x:v>
      </x:c>
      <x:c r="C39" s="1">
        <x:v>9</x:v>
      </x:c>
      <x:c r="D39" s="1">
        <x:v>8</x:v>
      </x:c>
      <x:c r="E39" s="1" t="n">
        <x:f>C39*D39</x:f>
        <x:v>72</x:v>
      </x:c>
    </x:row>
    <x:row r="40" ht="15.5">
      <x:c r="A40" t="s">
        <x:v>106</x:v>
      </x:c>
      <x:c r="B40" s="1">
        <x:v>84</x:v>
      </x:c>
      <x:c r="C40" s="1">
        <x:v>13</x:v>
      </x:c>
      <x:c r="D40" s="1">
        <x:v>8</x:v>
      </x:c>
      <x:c r="E40" s="1" t="n">
        <x:f>C40*D40</x:f>
        <x:v>104</x:v>
      </x:c>
    </x:row>
    <x:row r="41" ht="15.5">
      <x:c r="A41" t="s">
        <x:v>163</x:v>
      </x:c>
      <x:c r="B41" s="1">
        <x:v>108</x:v>
      </x:c>
      <x:c r="C41" s="1">
        <x:v>22</x:v>
      </x:c>
      <x:c r="D41" s="1" t="s">
        <x:v>30</x:v>
      </x:c>
      <x:c r="E41" s="1" t="n">
        <x:f>SUM(E39:E40)</x:f>
        <x:v>176</x:v>
      </x:c>
    </x:row>
    <x:row r="42" ht="15.5"/>
    <x:row r="43" ht="72" customHeight="1">
      <x:c r="A43" s="8" t="s">
        <x:v>176</x:v>
      </x:c>
      <x:c r="B43" s="8"/>
      <x:c r="C43" s="8"/>
      <x:c r="D43" s="8"/>
      <x:c r="E43" s="8"/>
      <x:c r="F43" s="8"/>
    </x:row>
    <x:row r="44" ht="15.5"/>
    <x:row r="45" ht="34" customHeight="1">
      <x:c r="A45" s="10" t="str">
        <x:v>Evidencia de horas · Corte 27/08–04/09/2026</x:v>
      </x:c>
      <x:c r="B45" s="10"/>
      <x:c r="C45" s="10"/>
      <x:c r="D45" s="10"/>
      <x:c r="E45" s="10"/>
      <x:c r="F45" s="10"/>
    </x:row>
    <x:row r="46">
      <x:c r="A46" s="10"/>
      <x:c r="B46" s="10"/>
      <x:c r="C46" s="10"/>
      <x:c r="D46" s="10"/>
      <x:c r="E46" s="10"/>
      <x:c r="F46" s="10"/>
    </x:row>
    <x:row r="47">
      <x:c r="A47" s="10" t="str">
        <x:v>Rango Git</x:v>
      </x:c>
      <x:c r="B47" s="10" t="str">
        <x:v>436667f..ad9e37c</x:v>
      </x:c>
      <x:c r="C47" s="10"/>
      <x:c r="D47" s="10"/>
      <x:c r="E47" s="10"/>
      <x:c r="F47" s="10"/>
    </x:row>
    <x:row r="48">
      <x:c r="A48" s="10" t="str">
        <x:v>Fuente GitHub</x:v>
      </x:c>
      <x:c r="B48" s="10" t="str">
        <x:v>https://github.com/Grant-Thornton-Costa-Rica/FARO/compare/436667f...ad9e37c</x:v>
      </x:c>
      <x:c r="C48" s="10"/>
      <x:c r="D48" s="10"/>
      <x:c r="E48" s="10"/>
      <x:c r="F48" s="10"/>
    </x:row>
    <x:row r="49">
      <x:c r="A49" s="10" t="str">
        <x:v>Commits totales</x:v>
      </x:c>
      <x:c r="B49" s="10" t="n">
        <x:v>55</x:v>
      </x:c>
      <x:c r="C49" s="10"/>
      <x:c r="D49" s="10"/>
      <x:c r="E49" s="10"/>
      <x:c r="F49" s="10"/>
    </x:row>
    <x:row r="50">
      <x:c r="A50" s="10" t="str">
        <x:v>Commits sin merge</x:v>
      </x:c>
      <x:c r="B50" s="10" t="n">
        <x:v>52</x:v>
      </x:c>
      <x:c r="C50" s="10"/>
      <x:c r="D50" s="10"/>
      <x:c r="E50" s="10"/>
      <x:c r="F50" s="10"/>
    </x:row>
    <x:row r="51">
      <x:c r="A51" s="10" t="str">
        <x:v>Merges</x:v>
      </x:c>
      <x:c r="B51" s="10" t="n">
        <x:v>3</x:v>
      </x:c>
      <x:c r="C51" s="10"/>
      <x:c r="D51" s="10"/>
      <x:c r="E51" s="10"/>
      <x:c r="F51" s="10"/>
    </x:row>
    <x:row r="52">
      <x:c r="A52" s="10" t="str">
        <x:v>Archivos modificados</x:v>
      </x:c>
      <x:c r="B52" s="10" t="n">
        <x:v>343</x:v>
      </x:c>
      <x:c r="C52" s="10"/>
      <x:c r="D52" s="10"/>
      <x:c r="E52" s="10"/>
      <x:c r="F52" s="10"/>
    </x:row>
    <x:row r="53">
      <x:c r="A53" s="10" t="str">
        <x:v>Inserciones / eliminaciones</x:v>
      </x:c>
      <x:c r="B53" s="10" t="str">
        <x:v>62,700 / 15,967</x:v>
      </x:c>
      <x:c r="C53" s="10"/>
      <x:c r="D53" s="10"/>
      <x:c r="E53" s="10"/>
      <x:c r="F53" s="10"/>
    </x:row>
    <x:row r="54">
      <x:c r="A54" s="10" t="str">
        <x:v>Método</x:v>
      </x:c>
      <x:c r="B54" s="10" t="str">
        <x:v>8 horas por día-persona con actividad sin merge; se descuenta cualquier día ya contado en el corte anterior.</x:v>
      </x:c>
      <x:c r="C54" s="10"/>
      <x:c r="D54" s="10"/>
      <x:c r="E54" s="10"/>
      <x:c r="F54" s="10"/>
    </x:row>
    <x:row r="55">
      <x:c r="A55" s="10"/>
      <x:c r="B55" s="10"/>
      <x:c r="C55" s="10"/>
      <x:c r="D55" s="10"/>
      <x:c r="E55" s="10"/>
      <x:c r="F55" s="10"/>
    </x:row>
    <x:row r="56">
      <x:c r="A56" s="10" t="str">
        <x:v>Persona</x:v>
      </x:c>
      <x:c r="B56" s="10" t="str">
        <x:v>Commits</x:v>
      </x:c>
      <x:c r="C56" s="10" t="str">
        <x:v>Días computados</x:v>
      </x:c>
      <x:c r="D56" s="10" t="str">
        <x:v>Horas/día</x:v>
      </x:c>
      <x:c r="E56" s="10" t="str">
        <x:v>Horas estimadas</x:v>
      </x:c>
      <x:c r="F56" s="10"/>
    </x:row>
    <x:row r="57">
      <x:c r="A57" s="10" t="str">
        <x:v>Aarón Mayorga</x:v>
      </x:c>
      <x:c r="B57" s="10" t="n">
        <x:v>15</x:v>
      </x:c>
      <x:c r="C57" s="10" t="n">
        <x:v>4</x:v>
      </x:c>
      <x:c r="D57" s="10" t="n">
        <x:v>8</x:v>
      </x:c>
      <x:c r="E57" s="10" t="n">
        <x:f>C57*D57</x:f>
        <x:v>32</x:v>
      </x:c>
      <x:c r="F57" s="10"/>
    </x:row>
    <x:row r="58">
      <x:c r="A58" s="10" t="str">
        <x:v>Luis Martínez</x:v>
      </x:c>
      <x:c r="B58" s="10" t="n">
        <x:v>37</x:v>
      </x:c>
      <x:c r="C58" s="10" t="n">
        <x:v>4</x:v>
      </x:c>
      <x:c r="D58" s="10" t="n">
        <x:v>8</x:v>
      </x:c>
      <x:c r="E58" s="10" t="n">
        <x:f>C58*D58</x:f>
        <x:v>32</x:v>
      </x:c>
      <x:c r="F58" s="10"/>
    </x:row>
    <x:row r="59">
      <x:c r="A59" s="10" t="str">
        <x:v>Daniel Pulido</x:v>
      </x:c>
      <x:c r="B59" s="10" t="n">
        <x:v>3</x:v>
      </x:c>
      <x:c r="C59" s="10" t="n">
        <x:v>1</x:v>
      </x:c>
      <x:c r="D59" s="10" t="n">
        <x:v>8</x:v>
      </x:c>
      <x:c r="E59" s="10" t="n">
        <x:f>C59*D59</x:f>
        <x:v>8</x:v>
      </x:c>
      <x:c r="F59" s="10"/>
    </x:row>
    <x:row r="60">
      <x:c r="A60" s="10" t="str">
        <x:v>Total</x:v>
      </x:c>
      <x:c r="B60" s="10" t="n">
        <x:v>55</x:v>
      </x:c>
      <x:c r="C60" s="10" t="n">
        <x:v>9</x:v>
      </x:c>
      <x:c r="D60" s="10"/>
      <x:c r="E60" s="10" t="n">
        <x:f>SUM(E57:E59)</x:f>
        <x:v>72</x:v>
      </x:c>
      <x:c r="F60" s="10"/>
    </x:row>
    <x:row r="61">
      <x:c r="A61" s="10"/>
      <x:c r="B61" s="10"/>
      <x:c r="C61" s="10"/>
      <x:c r="D61" s="10"/>
      <x:c r="E61" s="10"/>
      <x:c r="F61" s="10"/>
    </x:row>
    <x:row r="62" ht="72" customHeight="1">
      <x:c r="A62" s="9" t="str">
        <x:v>Criterio: los commits prueban actividad y alcance, pero no se convierten uno a uno en horas. La estimación usa días-persona con commits sin merge, descuenta el 27/08 de Luis ya incluido en el corte anterior y distribuye 72.0 h entre entregables verificables. PAC/PACC y los correos del proceso no reciben avance sin evidencia funcional.</x:v>
      </x:c>
      <x:c r="B62" s="9"/>
      <x:c r="C62" s="9"/>
      <x:c r="D62" s="9"/>
      <x:c r="E62" s="9"/>
      <x:c r="F62" s="9"/>
    </x:row>
  </x:sheetData>
  <x:mergeCells>
    <x:mergeCell ref="A1:F1"/>
    <x:mergeCell ref="A17:F17"/>
    <x:mergeCell ref="A27:F27"/>
    <x:mergeCell ref="A43:F43"/>
    <x:mergeCell ref="A45:F45"/>
    <x:mergeCell ref="A62:F62"/>
  </x:mergeCells>
  <x:hyperlinks>
    <x:hyperlink xmlns:r="http://schemas.openxmlformats.org/officeDocument/2006/relationships" ref="B30" r:id="R8d8fe215f37a4093"/>
  </x:hyperlinks>
  <x:pageMargins left="0.7" right="0.7" top="0.75" bottom="0.75" header="0.3" footer="0.3"/>
</x:worksheet>
</file>