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aa123e91294624" /></Relationships>
</file>

<file path=xl/workbook.xml><?xml version="1.0" encoding="utf-8"?>
<x:workbook xmlns:x="http://schemas.openxmlformats.org/spreadsheetml/2006/main">
  <x:sheets>
    <x:sheet xmlns:r="http://schemas.openxmlformats.org/officeDocument/2006/relationships" name="Cronograma" sheetId="1" r:id="R01d3d0f6f27e4828"/>
    <x:sheet xmlns:r="http://schemas.openxmlformats.org/officeDocument/2006/relationships" name="Resumen" sheetId="2" r:id="R7baabe8e3e3b409b"/>
    <x:sheet xmlns:r="http://schemas.openxmlformats.org/officeDocument/2006/relationships" name="Equipo" sheetId="3" r:id="R59eb7e367e944ea2"/>
    <x:sheet xmlns:r="http://schemas.openxmlformats.org/officeDocument/2006/relationships" name="Histórico avance" sheetId="4" r:id="Ra1dbda85ee6d44fb"/>
    <x:sheet xmlns:r="http://schemas.openxmlformats.org/officeDocument/2006/relationships" name="Auditoría" sheetId="5" r:id="Rb925a88ae2be45a2"/>
    <x:sheet xmlns:r="http://schemas.openxmlformats.org/officeDocument/2006/relationships" name="Evidencia horas" sheetId="6" r:id="R112a016b06464cc9"/>
  </x:sheets>
</x:workbook>
</file>

<file path=xl/sharedStrings.xml><?xml version="1.0" encoding="utf-8"?>
<x:sst xmlns:x="http://schemas.openxmlformats.org/spreadsheetml/2006/main">
  <x:si>
    <x:t xml:space="preserve">ID</x:t>
  </x:si>
  <x:si>
    <x:t xml:space="preserve">Fase</x:t>
  </x:si>
  <x:si>
    <x:t xml:space="preserve">Tarea</x:t>
  </x:si>
  <x:si>
    <x:t xml:space="preserve">Horas Plan</x:t>
  </x:si>
  <x:si>
    <x:t xml:space="preserve">Avance %</x:t>
  </x:si>
  <x:si>
    <x:t xml:space="preserve">Estado</x:t>
  </x:si>
  <x:si>
    <x:t xml:space="preserve">Responsables</x:t>
  </x:si>
  <x:si>
    <x:t xml:space="preserve">Horas Luis Montero</x:t>
  </x:si>
  <x:si>
    <x:t xml:space="preserve">Horas Aarón Mayorga</x:t>
  </x:si>
  <x:si>
    <x:t xml:space="preserve">Horas Luis Martínez</x:t>
  </x:si>
  <x:si>
    <x:t xml:space="preserve">Horas Daniel Pulido</x:t>
  </x:si>
  <x:si>
    <x:t xml:space="preserve">Horas Karol</x:t>
  </x:si>
  <x:si>
    <x:t xml:space="preserve">Horas Jorge Jiménez</x:t>
  </x:si>
  <x:si>
    <x:t xml:space="preserve">Horas Kenneth</x:t>
  </x:si>
  <x:si>
    <x:t xml:space="preserve">Total Horas Reales</x:t>
  </x:si>
  <x:si>
    <x:t xml:space="preserve">Notas</x:t>
  </x:si>
  <x:si>
    <x:t xml:space="preserve">Levantamiento</x:t>
  </x:si>
  <x:si>
    <x:t xml:space="preserve">Reunión de levantamiento funcional</x:t>
  </x:si>
  <x:si>
    <x:t xml:space="preserve">Listo</x:t>
  </x:si>
  <x:si>
    <x:t xml:space="preserve">Aarón Mayorga, Luis Martínez</x:t>
  </x:si>
  <x:si>
    <x:t xml:space="preserve">Completada sin novedades</x:t>
  </x:si>
  <x:si>
    <x:t xml:space="preserve">Elaboración de doc. de requerimientos</x:t>
  </x:si>
  <x:si>
    <x:t xml:space="preserve">Luis Montero, Aarón Mayorga, Karol</x:t>
  </x:si>
  <x:si>
    <x:t xml:space="preserve">AM realizó requerimientos / LMM revisión</x:t>
  </x:si>
  <x:si>
    <x:t xml:space="preserve">Sesión de evacuación de dudas</x:t>
  </x:si>
  <x:si>
    <x:t xml:space="preserve">Karol, Jorge Jiménez, Luis Montero</x:t>
  </x:si>
  <x:si>
    <x:t xml:space="preserve">Dudas PRE-REGISTRO / Responsabilidad</x:t>
  </x:si>
  <x:si>
    <x:t xml:space="preserve">Diseño</x:t>
  </x:si>
  <x:si>
    <x:t xml:space="preserve">Doc. Diseño de Arquitectura</x:t>
  </x:si>
  <x:si>
    <x:t xml:space="preserve">Aarón Mayorga</x:t>
  </x:si>
  <x:si>
    <x:t xml:space="preserve">30</x:t>
  </x:si>
  <x:si>
    <x:t xml:space="preserve">Documentar Arquitectura lógica</x:t>
  </x:si>
  <x:si>
    <x:t xml:space="preserve">En curso</x:t>
  </x:si>
  <x:si>
    <x:t xml:space="preserve">Arquitectura lógica alineada al contexto canónico y al monolito modular; pendiente cierre formal. Equipo del avance: Aarón Mayorga 0.9 h y Luis Martínez 0.9 h. Corte 14/07–04/08 (GitHub): Aarón 0.0 h; Luis Martínez 1.0 h.</x:t>
  </x:si>
  <x:si>
    <x:t xml:space="preserve">Documentar Arquitectura física</x:t>
  </x:si>
  <x:si>
    <x:t xml:space="preserve">Daniel Pulido</x:t>
  </x:si>
  <x:si>
    <x:t xml:space="preserve">🟢 Reutilizable</x:t>
  </x:si>
  <x:si>
    <x:t xml:space="preserve">Documentar Pipeline CI/CD</x:t>
  </x:si>
  <x:si>
    <x:t xml:space="preserve">Documentar Diseño modular</x:t>
  </x:si>
  <x:si>
    <x:t xml:space="preserve">Arquitectura modular documentada y aplicada; pendiente cierre formal. Equipo del avance: Aarón Mayorga 0.5 h y Luis Martínez 0.5 h. Corte 14/07–04/08 (GitHub): Aarón 3.0 h; Luis Martínez 1.0 h.</x:t>
  </x:si>
  <x:si>
    <x:t xml:space="preserve">Documentar Seguridad en el diseño</x:t>
  </x:si>
  <x:si>
    <x:t xml:space="preserve">BFF, passwordless externo, capacidades y alcance reforzados; pendiente revisión final. Equipo del avance: Aarón Mayorga 0.7 h y Luis Martínez 0.7 h. Corte 14/07–04/08 (GitHub): Aarón 3.0 h; Luis Martínez 2.0 h.</x:t>
  </x:si>
  <x:si>
    <x:t xml:space="preserve">Configuración de repositorio</x:t>
  </x:si>
  <x:si>
    <x:t xml:space="preserve">Corte 14/07–04/08 (GitHub): Aarón 2.0 h; Luis Martínez 1.0 h.</x:t>
  </x:si>
  <x:si>
    <x:t xml:space="preserve">Config. herramientas y frameworks</x:t>
  </x:si>
  <x:si>
    <x:t xml:space="preserve">Daniel Pulido, Luis Montero</x:t>
  </x:si>
  <x:si>
    <x:t xml:space="preserve">Corte 14/07–04/08 (GitHub): Aarón 2.0 h; Luis Martínez 2.0 h.</x:t>
  </x:si>
  <x:si>
    <x:t xml:space="preserve">Desarrollo</x:t>
  </x:si>
  <x:si>
    <x:t xml:space="preserve">Pruebas</x:t>
  </x:si>
  <x:si>
    <x:t xml:space="preserve">Impl. y Transferencia</x:t>
  </x:si>
  <x:si>
    <x:t xml:space="preserve">Guía de despliegue</x:t>
  </x:si>
  <x:si>
    <x:t xml:space="preserve">Migración de Datos</x:t>
  </x:si>
  <x:si>
    <x:t xml:space="preserve">Exportación CSV desde SharePoint</x:t>
  </x:si>
  <x:si>
    <x:t xml:space="preserve">Pendiente</x:t>
  </x:si>
  <x:si>
    <x:t xml:space="preserve">Karol, Kenneth</x:t>
  </x:si>
  <x:si>
    <x:t xml:space="preserve">Script Python: ETL</x:t>
  </x:si>
  <x:si>
    <x:t xml:space="preserve">Aarón Mayorga, Luis Montero</x:t>
  </x:si>
  <x:si>
    <x:t xml:space="preserve">Revisión por Independencia</x:t>
  </x:si>
  <x:si>
    <x:t xml:space="preserve">Karol, Luis Montero</x:t>
  </x:si>
  <x:si>
    <x:t xml:space="preserve">Migración Archivos PDF</x:t>
  </x:si>
  <x:si>
    <x:t xml:space="preserve">Validación de Integridad</x:t>
  </x:si>
  <x:si>
    <x:t xml:space="preserve">Karol, Aarón Mayorga</x:t>
  </x:si>
  <x:si>
    <x:t xml:space="preserve">Doc. Proceso de Migración</x:t>
  </x:si>
  <x:si>
    <x:t xml:space="preserve">Luis Montero, Aarón Mayorga</x:t>
  </x:si>
  <x:si>
    <x:t xml:space="preserve">Tareas</x:t>
  </x:si>
  <x:si>
    <x:t xml:space="preserve">Completadas</x:t>
  </x:si>
  <x:si>
    <x:t xml:space="preserve">Horas Reales</x:t>
  </x:si>
  <x:si>
    <x:t xml:space="preserve">Nombre</x:t>
  </x:si>
  <x:si>
    <x:t xml:space="preserve">Rol</x:t>
  </x:si>
  <x:si>
    <x:t xml:space="preserve">Dedicación</x:t>
  </x:si>
  <x:si>
    <x:t xml:space="preserve">Tareas Asignadas</x:t>
  </x:si>
  <x:si>
    <x:t xml:space="preserve">Luis Montero</x:t>
  </x:si>
  <x:si>
    <x:t xml:space="preserve">DEV</x:t>
  </x:si>
  <x:si>
    <x:t xml:space="preserve">50%</x:t>
  </x:si>
  <x:si>
    <x:t xml:space="preserve">75%</x:t>
  </x:si>
  <x:si>
    <x:t xml:space="preserve">Luis Martínez</x:t>
  </x:si>
  <x:si>
    <x:t xml:space="preserve">45%</x:t>
  </x:si>
  <x:si>
    <x:t xml:space="preserve">ARQ</x:t>
  </x:si>
  <x:si>
    <x:t xml:space="preserve">30%</x:t>
  </x:si>
  <x:si>
    <x:t xml:space="preserve">Karol</x:t>
  </x:si>
  <x:si>
    <x:t xml:space="preserve">AF</x:t>
  </x:si>
  <x:si>
    <x:t xml:space="preserve">Jorge Jiménez</x:t>
  </x:si>
  <x:si>
    <x:t xml:space="preserve">PM</x:t>
  </x:si>
  <x:si>
    <x:t xml:space="preserve">40%</x:t>
  </x:si>
  <x:si>
    <x:t xml:space="preserve">Kenneth</x:t>
  </x:si>
  <x:si>
    <x:t xml:space="preserve">ATI</x:t>
  </x:si>
  <x:si>
    <x:t xml:space="preserve">10%</x:t>
  </x:si>
  <x:si>
    <x:t xml:space="preserve">Fecha del corte</x:t>
  </x:si>
  <x:si>
    <x:t xml:space="preserve">Avance general</x:t>
  </x:si>
  <x:si>
    <x:t xml:space="preserve">Impl. y transferencia</x:t>
  </x:si>
  <x:si>
    <x:t xml:space="preserve">Migración de datos</x:t>
  </x:si>
  <x:si>
    <x:t xml:space="preserve">Rama revisada</x:t>
  </x:si>
  <x:si>
    <x:t xml:space="preserve">Commit</x:t>
  </x:si>
  <x:si>
    <x:t xml:space="preserve">Notas / evidencia</x:t>
  </x:si>
  <x:si>
    <x:t xml:space="preserve">main</x:t>
  </x:si>
  <x:si>
    <x:t xml:space="preserve">31ecaf5..95a1b5b</x:t>
  </x:si>
  <x:si>
    <x:t xml:space="preserve">Corte 14/07–04/08 validado contra GitHub: 364 commits (355 sin merge + 9 merges), 443 archivos modificados y 16 días-persona activos. Estimación conservadora de 128.0 h omitidas: Aarón 56.0 h y Luis Martínez 72.0 h, a 8 h por día activo y distribuidas por entregable. Evidencia: https://github.com/Grant-Thornton-Costa-Rica/FARO/compare/31ecaf5...95a1b5b</x:t>
  </x:si>
  <x:si>
    <x:t xml:space="preserve">fdbea06</x:t>
  </x:si>
  <x:si>
    <x:t xml:space="preserve">Corte validado sobre FARO main@fdbea06. Pre-registro full-stack integrado dentro de Administrativo: creación, bandeja, invitación/reenvío/revocación, aceptación passwordless, auditoría, idempotencia y alcance global Riesgo/Admin. También se reconoce el cierre backend GTRS de 8 secciones con ETag y gate de completitud. Pendientes principales: integración vertical del frontend GTRS, aprovisionamiento Microsoft/Entra y UAT. Horas del avance redistribuidas: 260.0 h totales, 130.0 h Aarón Mayorga y 130.0 h Luis Martínez; sin participación de Daniel Pulido, Luis Montero, Karol ni Jorge Jiménez en las tareas que avanzaron. Acumulado al 13/08: 655.0 h = 267.0 h de línea base al 13/07 + 128.0 h estimadas del corte 04/08 + 260.0 h del corte 13/08.</x:t>
  </x:si>
  <x:si>
    <x:t xml:space="preserve">fdbea06..436667f</x:t>
  </x:si>
  <x:si>
    <x:t xml:space="preserve">Corte 14/08–27/08 validado sobre FARO main@436667f (base fdbea06): 108 commits, 367 archivos modificados y 22 días-persona. Formulario GTRS canónico integrado de extremo a extremo, flujo externo multi-GTRS y Magic Link, Home interno por rol y alcance, catálogos y snapshots, rollout remoto Release A y backend inicial de revisión de Riesgo (observaciones, lecturas e inicio). Pendientes: operaciones completas de revisión, Release B y cinco migraciones de completitud, Microsoft/Entra, UAT y despliegue productivo integral. Horas estimadas: 176.0 h (Aarón 72.0 h; Luis Martínez 104.0 h), a 8 h por día activo; acumulado 831.0 h. Avance general 60.3%.</x:t>
  </x:si>
  <x:si>
    <x:t xml:space="preserve">ID de operación</x:t>
  </x:si>
  <x:si>
    <x:t xml:space="preserve">Fecha y hora UTC</x:t>
  </x:si>
  <x:si>
    <x:t xml:space="preserve">Usuario ID</x:t>
  </x:si>
  <x:si>
    <x:t xml:space="preserve">Usuario</x:t>
  </x:si>
  <x:si>
    <x:t xml:space="preserve">Acción</x:t>
  </x:si>
  <x:si>
    <x:t xml:space="preserve">Archivo</x:t>
  </x:si>
  <x:si>
    <x:t xml:space="preserve">Versión base</x:t>
  </x:si>
  <x:si>
    <x:t xml:space="preserve">01a0437e-6b05-7f42-a15a-e9a58c829943-20260827</x:t>
  </x:si>
  <x:si>
    <x:t xml:space="preserve">2026-08-27T14:19:12.936Z</x:t>
  </x:si>
  <x:si>
    <x:t xml:space="preserve">2026-08-27</x:t>
  </x:si>
  <x:si>
    <x:t xml:space="preserve">aaron</x:t>
  </x:si>
  <x:si>
    <x:t xml:space="preserve">Actualización manual asistida por Codex</x:t>
  </x:si>
  <x:si>
    <x:t xml:space="preserve">FARO_Cronograma_2026-08-27.xlsx</x:t>
  </x:si>
  <x:si>
    <x:t xml:space="preserve">Seguimiento f5bad43 / FARO fdbea06..436667f</x:t>
  </x:si>
  <x:si>
    <x:t xml:space="preserve">Estimación de horas omitidas · Corte 14/07–04/08/2026</x:t>
  </x:si>
  <x:si>
    <x:t xml:space="preserve">Rango Git</x:t>
  </x:si>
  <x:si>
    <x:t xml:space="preserve">Fuente GitHub</x:t>
  </x:si>
  <x:si>
    <x:t xml:space="preserve">https://github.com/Grant-Thornton-Costa-Rica/FARO/compare/31ecaf5...95a1b5b</x:t>
  </x:si>
  <x:si>
    <x:t xml:space="preserve">Commits totales</x:t>
  </x:si>
  <x:si>
    <x:t xml:space="preserve">Commits sin merge</x:t>
  </x:si>
  <x:si>
    <x:t xml:space="preserve">Merges</x:t>
  </x:si>
  <x:si>
    <x:t xml:space="preserve">Archivos modificados</x:t>
  </x:si>
  <x:si>
    <x:t xml:space="preserve">Inserciones / eliminaciones</x:t>
  </x:si>
  <x:si>
    <x:t xml:space="preserve">84,623 / 5,354</x:t>
  </x:si>
  <x:si>
    <x:t xml:space="preserve">Método</x:t>
  </x:si>
  <x:si>
    <x:t xml:space="preserve">8 horas por día-persona activo; contraste con entregables y cambios del repositorio.</x:t>
  </x:si>
  <x:si>
    <x:t xml:space="preserve">Persona</x:t>
  </x:si>
  <x:si>
    <x:t xml:space="preserve">Commits</x:t>
  </x:si>
  <x:si>
    <x:t xml:space="preserve">Días activos</x:t>
  </x:si>
  <x:si>
    <x:t xml:space="preserve">Horas/día</x:t>
  </x:si>
  <x:si>
    <x:t xml:space="preserve">Horas estimadas</x:t>
  </x:si>
  <x:si>
    <x:t xml:space="preserve">Total</x:t>
  </x:si>
  <x:si>
    <x:t xml:space="preserve">Criterio: los commits prueban actividad y alcance, pero no se convierten individualmente en horas. La estimación usa días-persona activos y se distribuye entre tareas con entregables verificables. No se atribuyeron horas del intervalo a personas sin commits.</x:t>
  </x:si>
  <x:si>
    <x:t xml:space="preserve">Componente acumulado</x:t>
  </x:si>
  <x:si>
    <x:t xml:space="preserve">Aarón</x:t>
  </x:si>
  <x:si>
    <x:t xml:space="preserve">Otros históricos</x:t>
  </x:si>
  <x:si>
    <x:t xml:space="preserve">Línea base al 13/07</x:t>
  </x:si>
  <x:si>
    <x:t xml:space="preserve">Horas omitidas del corte 04/08</x:t>
  </x:si>
  <x:si>
    <x:t xml:space="preserve">Horas del corte 13/08</x:t>
  </x:si>
  <x:si>
    <x:t xml:space="preserve">Horas del corte 27/08</x:t>
  </x:si>
  <x:si>
    <x:t xml:space="preserve">Evidencia de horas · Corte 14/08–27/08/2026</x:t>
  </x:si>
  <x:si>
    <x:t xml:space="preserve">https://github.com/Grant-Thornton-Costa-Rica/FARO/compare/fdbea06...436667f</x:t>
  </x:si>
  <x:si>
    <x:t xml:space="preserve">75,218 / 13,353</x:t>
  </x:si>
  <x:si>
    <x:t xml:space="preserve">8 horas por día-persona activo; contraste con entregables, pruebas y cambios del repositorio.</x:t>
  </x:si>
  <x:si>
    <x:t xml:space="preserve">Criterio: los commits prueban actividad y alcance, pero no se convierten individualmente en horas. La estimación usa días-persona activos y distribuye 176.0 h proporcionalmente al incremento de esfuerzo planificado de las 16 tareas con entregables verificables. No se atribuyeron horas del intervalo a personas sin commits.</x:t>
  </x:si>
</x:sst>
</file>

<file path=xl/styles.xml><?xml version="1.0" encoding="utf-8"?>
<x:styleSheet xmlns:x="http://schemas.openxmlformats.org/spreadsheetml/2006/main">
  <x:numFmts count="5">
    <x:numFmt numFmtId="165" formatCode="dd/mm/yyyy"/>
    <x:numFmt numFmtId="166" formatCode="0.0%"/>
    <x:numFmt numFmtId="167" formatCode="0.0"/>
    <x:numFmt numFmtId="200" formatCode="@"/>
    <x:numFmt numFmtId="201" formatCode="0"/>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21">
    <x:xf numFmtId="0" fontId="0" fillId="0" borderId="0" xfId="0"/>
    <x:xf numFmtId="167" fontId="0" fillId="0" borderId="0" xfId="0" applyNumberFormat="1"/>
    <x:xf numFmtId="0" fontId="0" fillId="0" borderId="0" xfId="0"/>
    <x:xf numFmtId="0" fontId="0" fillId="0" borderId="0" xfId="0" applyAlignment="1">
      <x:alignment vertical="top" wrapText="1"/>
    </x:xf>
    <x:xf numFmtId="0" fontId="0" fillId="0" borderId="0" xfId="0" applyAlignment="1">
      <x:alignment vertical="top"/>
    </x:xf>
    <x:xf numFmtId="167" fontId="0" fillId="0" borderId="0" xfId="0" applyNumberFormat="1" applyAlignment="1">
      <x:alignment vertical="top"/>
    </x:xf>
    <x:xf numFmtId="165" fontId="0" fillId="0" borderId="0" xfId="0" applyNumberFormat="1" applyAlignment="1">
      <x:alignment vertical="top"/>
    </x:xf>
    <x:xf numFmtId="166" fontId="0" fillId="0" borderId="0" xfId="0" applyNumberFormat="1" applyAlignment="1">
      <x:alignment vertical="top"/>
    </x:xf>
    <x:xf numFmtId="0" fontId="0" fillId="0" borderId="0" xfId="0"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167" fontId="0" fillId="0" borderId="0" xfId="0" applyNumberFormat="1" applyFont="1" applyFill="1" applyBorder="1" applyAlignment="1">
      <x:alignment vertical="top"/>
    </x:xf>
    <x:xf numFmtId="165" fontId="0" fillId="0" borderId="0" xfId="0" applyNumberFormat="1" applyFont="1" applyFill="1" applyBorder="1"/>
    <x:xf numFmtId="166" fontId="0" fillId="0" borderId="0" xfId="0" applyNumberFormat="1" applyFont="1" applyFill="1" applyBorder="1"/>
    <x:xf numFmtId="0" fontId="0" fillId="0" borderId="0" xfId="0" applyNumberFormat="1" applyFont="1" applyFill="1" applyBorder="1" applyAlignment="1">
      <x:alignment wrapText="1"/>
    </x:xf>
    <x:xf numFmtId="165" fontId="0" fillId="0" borderId="0" xfId="0" applyNumberFormat="1" applyFont="1" applyFill="1" applyBorder="1" applyAlignment="1">
      <x:alignment vertical="top"/>
    </x:xf>
    <x:xf numFmtId="166" fontId="0" fillId="0" borderId="0" xfId="0" applyNumberFormat="1" applyFont="1" applyFill="1" applyBorder="1" applyAlignment="1">
      <x:alignment vertical="top"/>
    </x:xf>
    <x:xf numFmtId="200" fontId="0" fillId="0" borderId="0" xfId="0" applyNumberFormat="1" applyFont="1" applyFill="1" applyBorder="1"/>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fd9f52de7b4d62" /><Relationship Type="http://schemas.openxmlformats.org/officeDocument/2006/relationships/theme" Target="/xl/theme/theme1.xml" Id="R9fe15088d1394689" /><Relationship Type="http://schemas.openxmlformats.org/officeDocument/2006/relationships/sharedStrings" Target="/xl/sharedStrings.xml" Id="R0b69ac5d18894ce4" /><Relationship Type="http://schemas.openxmlformats.org/officeDocument/2006/relationships/worksheet" Target="/xl/worksheets/sheet1.xml" Id="R01d3d0f6f27e4828" /><Relationship Type="http://schemas.openxmlformats.org/officeDocument/2006/relationships/worksheet" Target="/xl/worksheets/sheet2.xml" Id="R7baabe8e3e3b409b" /><Relationship Type="http://schemas.openxmlformats.org/officeDocument/2006/relationships/worksheet" Target="/xl/worksheets/sheet3.xml" Id="R59eb7e367e944ea2" /><Relationship Type="http://schemas.openxmlformats.org/officeDocument/2006/relationships/worksheet" Target="/xl/worksheets/sheet4.xml" Id="Ra1dbda85ee6d44fb" /><Relationship Type="http://schemas.openxmlformats.org/officeDocument/2006/relationships/worksheet" Target="/xl/worksheets/sheet5.xml" Id="Rb925a88ae2be45a2" /><Relationship Type="http://schemas.openxmlformats.org/officeDocument/2006/relationships/worksheet" Target="/xl/worksheets/sheet6.xml" Id="R112a016b06464cc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hyperlink" Target="https://github.com/Grant-Thornton-Costa-Rica/FARO/compare/fdbea06...436667f" TargetMode="External" Id="R00b1415d5675421f" /></Relationships>
</file>

<file path=xl/worksheets/sheet1.xml><?xml version="1.0" encoding="utf-8"?>
<x:worksheet xmlns:x="http://schemas.openxmlformats.org/spreadsheetml/2006/main">
  <x:sheetFormatPr baseColWidth="10" defaultRowHeight="14.5"/>
  <x:cols>
    <x:col min="1" max="1" width="4.83203125" customWidth="1"/>
    <x:col min="2" max="2" width="22.83203125" customWidth="1"/>
    <x:col min="3" max="3" width="42.83203125" customWidth="1"/>
    <x:col min="4" max="4" width="11.83203125" customWidth="1"/>
    <x:col min="5" max="6" width="10.83203125" customWidth="1"/>
    <x:col min="7" max="7" width="35.83203125" customWidth="1"/>
    <x:col min="8" max="14" width="14.83203125" customWidth="1"/>
    <x:col min="15" max="15" width="16.83203125" customWidth="1"/>
    <x:col min="16" max="16" width="100" hidden="0" customWidth="1"/>
  </x:cols>
  <x:sheetData>
    <x:row r="1" ht="15.5">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row>
    <x:row r="2" ht="30" customHeight="1">
      <x:c r="A2">
        <x:v>1</x:v>
      </x:c>
      <x:c r="B2" t="s">
        <x:v>16</x:v>
      </x:c>
      <x:c r="C2" s="3" t="s">
        <x:v>17</x:v>
      </x:c>
      <x:c r="D2" s="4">
        <x:v>12</x:v>
      </x:c>
      <x:c r="E2" s="4">
        <x:v>100</x:v>
      </x:c>
      <x:c r="F2" s="4" t="s">
        <x:v>18</x:v>
      </x:c>
      <x:c r="G2" s="3" t="s">
        <x:v>19</x:v>
      </x:c>
      <x:c r="H2" s="5">
        <x:v>0</x:v>
      </x:c>
      <x:c r="I2" s="5">
        <x:v>12</x:v>
      </x:c>
      <x:c r="J2" s="5">
        <x:v>12</x:v>
      </x:c>
      <x:c r="K2" s="5">
        <x:v>0</x:v>
      </x:c>
      <x:c r="L2" s="5">
        <x:v>0</x:v>
      </x:c>
      <x:c r="M2" s="5">
        <x:v>0</x:v>
      </x:c>
      <x:c r="N2" s="5">
        <x:v>0</x:v>
      </x:c>
      <x:c r="O2" s="5">
        <x:v>24</x:v>
      </x:c>
      <x:c r="P2" s="3" t="s">
        <x:v>20</x:v>
      </x:c>
    </x:row>
    <x:row r="3" ht="30" customHeight="1">
      <x:c r="A3">
        <x:v>2</x:v>
      </x:c>
      <x:c r="B3" t="s">
        <x:v>16</x:v>
      </x:c>
      <x:c r="C3" s="3" t="s">
        <x:v>21</x:v>
      </x:c>
      <x:c r="D3" s="4">
        <x:v>18</x:v>
      </x:c>
      <x:c r="E3" s="4">
        <x:v>100</x:v>
      </x:c>
      <x:c r="F3" s="4" t="s">
        <x:v>18</x:v>
      </x:c>
      <x:c r="G3" s="3" t="s">
        <x:v>22</x:v>
      </x:c>
      <x:c r="H3" s="5">
        <x:v>0</x:v>
      </x:c>
      <x:c r="I3" s="5">
        <x:v>30</x:v>
      </x:c>
      <x:c r="J3" s="5">
        <x:v>0</x:v>
      </x:c>
      <x:c r="K3" s="5">
        <x:v>0</x:v>
      </x:c>
      <x:c r="L3" s="5">
        <x:v>5</x:v>
      </x:c>
      <x:c r="M3" s="5">
        <x:v>0</x:v>
      </x:c>
      <x:c r="N3" s="5">
        <x:v>0</x:v>
      </x:c>
      <x:c r="O3" s="5">
        <x:v>35</x:v>
      </x:c>
      <x:c r="P3" s="3" t="s">
        <x:v>23</x:v>
      </x:c>
    </x:row>
    <x:row r="4" ht="30" customHeight="1">
      <x:c r="A4">
        <x:v>3</x:v>
      </x:c>
      <x:c r="B4" t="s">
        <x:v>16</x:v>
      </x:c>
      <x:c r="C4" s="3" t="s">
        <x:v>24</x:v>
      </x:c>
      <x:c r="D4" s="4">
        <x:v>6</x:v>
      </x:c>
      <x:c r="E4" s="4">
        <x:v>100</x:v>
      </x:c>
      <x:c r="F4" s="4" t="s">
        <x:v>18</x:v>
      </x:c>
      <x:c r="G4" s="3" t="s">
        <x:v>25</x:v>
      </x:c>
      <x:c r="H4" s="5">
        <x:v>4</x:v>
      </x:c>
      <x:c r="I4" s="5">
        <x:v>4</x:v>
      </x:c>
      <x:c r="J4" s="5">
        <x:v>4</x:v>
      </x:c>
      <x:c r="K4" s="5">
        <x:v>0</x:v>
      </x:c>
      <x:c r="L4" s="5">
        <x:v>4</x:v>
      </x:c>
      <x:c r="M4" s="5">
        <x:v>4</x:v>
      </x:c>
      <x:c r="N4" s="5">
        <x:v>0</x:v>
      </x:c>
      <x:c r="O4" s="5">
        <x:v>20</x:v>
      </x:c>
      <x:c r="P4" s="3" t="s">
        <x:v>26</x:v>
      </x:c>
    </x:row>
    <x:row r="5" ht="15.5">
      <x:c r="A5">
        <x:v>4</x:v>
      </x:c>
      <x:c r="B5" t="s">
        <x:v>27</x:v>
      </x:c>
      <x:c r="C5" s="3" t="s">
        <x:v>28</x:v>
      </x:c>
      <x:c r="D5" s="4">
        <x:v>6</x:v>
      </x:c>
      <x:c r="E5" s="4">
        <x:v>100</x:v>
      </x:c>
      <x:c r="F5" s="4" t="s">
        <x:v>18</x:v>
      </x:c>
      <x:c r="G5" s="3" t="s">
        <x:v>29</x:v>
      </x:c>
      <x:c r="H5" s="5">
        <x:v>0</x:v>
      </x:c>
      <x:c r="I5" s="5">
        <x:v>6</x:v>
      </x:c>
      <x:c r="J5" s="5">
        <x:v>0</x:v>
      </x:c>
      <x:c r="K5" s="5">
        <x:v>0</x:v>
      </x:c>
      <x:c r="L5" s="5">
        <x:v>0</x:v>
      </x:c>
      <x:c r="M5" s="5">
        <x:v>0</x:v>
      </x:c>
      <x:c r="N5" s="5">
        <x:v>0</x:v>
      </x:c>
      <x:c r="O5" s="5">
        <x:v>6</x:v>
      </x:c>
      <x:c r="P5" s="3" t="s">
        <x:v>30</x:v>
      </x:c>
    </x:row>
    <x:row r="6" ht="62">
      <x:c r="A6">
        <x:v>5</x:v>
      </x:c>
      <x:c r="B6" t="s">
        <x:v>27</x:v>
      </x:c>
      <x:c r="C6" s="3" t="s">
        <x:v>31</x:v>
      </x:c>
      <x:c r="D6" s="4">
        <x:v>12</x:v>
      </x:c>
      <x:c r="E6" s="4">
        <x:v>95</x:v>
      </x:c>
      <x:c r="F6" s="4" t="s">
        <x:v>32</x:v>
      </x:c>
      <x:c r="G6" s="3" t="s">
        <x:v>19</x:v>
      </x:c>
      <x:c r="H6" s="5">
        <x:v>0</x:v>
      </x:c>
      <x:c r="I6" s="5">
        <x:v>0.9</x:v>
      </x:c>
      <x:c r="J6" s="5">
        <x:v>1.9</x:v>
      </x:c>
      <x:c r="K6" s="5">
        <x:v>9</x:v>
      </x:c>
      <x:c r="L6" s="5">
        <x:v>0</x:v>
      </x:c>
      <x:c r="M6" s="5">
        <x:v>0</x:v>
      </x:c>
      <x:c r="N6" s="5">
        <x:v>0</x:v>
      </x:c>
      <x:c r="O6" s="5">
        <x:v>11.8</x:v>
      </x:c>
      <x:c r="P6" s="3" t="s">
        <x:v>33</x:v>
      </x:c>
    </x:row>
    <x:row r="7" ht="30" customHeight="1">
      <x:c r="A7">
        <x:v>6</x:v>
      </x:c>
      <x:c r="B7" t="s">
        <x:v>27</x:v>
      </x:c>
      <x:c r="C7" s="3" t="s">
        <x:v>34</x:v>
      </x:c>
      <x:c r="D7" s="4">
        <x:v>0</x:v>
      </x:c>
      <x:c r="E7" s="4">
        <x:v>100</x:v>
      </x:c>
      <x:c r="F7" s="4" t="s">
        <x:v>18</x:v>
      </x:c>
      <x:c r="G7" s="3" t="s">
        <x:v>35</x:v>
      </x:c>
      <x:c r="H7" s="5">
        <x:v>0</x:v>
      </x:c>
      <x:c r="I7" s="5">
        <x:v>0</x:v>
      </x:c>
      <x:c r="J7" s="5">
        <x:v>0</x:v>
      </x:c>
      <x:c r="K7" s="5">
        <x:v>0</x:v>
      </x:c>
      <x:c r="L7" s="5">
        <x:v>0</x:v>
      </x:c>
      <x:c r="M7" s="5">
        <x:v>0</x:v>
      </x:c>
      <x:c r="N7" s="5">
        <x:v>0</x:v>
      </x:c>
      <x:c r="O7" s="5">
        <x:v>0</x:v>
      </x:c>
      <x:c r="P7" s="3" t="s">
        <x:v>36</x:v>
      </x:c>
    </x:row>
    <x:row r="8" ht="30" customHeight="1">
      <x:c r="A8">
        <x:v>7</x:v>
      </x:c>
      <x:c r="B8" t="s">
        <x:v>27</x:v>
      </x:c>
      <x:c r="C8" s="3" t="s">
        <x:v>37</x:v>
      </x:c>
      <x:c r="D8" s="4">
        <x:v>0</x:v>
      </x:c>
      <x:c r="E8" s="4">
        <x:v>100</x:v>
      </x:c>
      <x:c r="F8" s="4" t="s">
        <x:v>18</x:v>
      </x:c>
      <x:c r="G8" s="3" t="s">
        <x:v>35</x:v>
      </x:c>
      <x:c r="H8" s="5">
        <x:v>0</x:v>
      </x:c>
      <x:c r="I8" s="5">
        <x:v>0</x:v>
      </x:c>
      <x:c r="J8" s="5">
        <x:v>0</x:v>
      </x:c>
      <x:c r="K8" s="5">
        <x:v>0</x:v>
      </x:c>
      <x:c r="L8" s="5">
        <x:v>0</x:v>
      </x:c>
      <x:c r="M8" s="5">
        <x:v>0</x:v>
      </x:c>
      <x:c r="N8" s="5">
        <x:v>0</x:v>
      </x:c>
      <x:c r="O8" s="5">
        <x:v>0</x:v>
      </x:c>
      <x:c r="P8" s="3" t="s">
        <x:v>36</x:v>
      </x:c>
    </x:row>
    <x:row r="9" ht="46.5">
      <x:c r="A9">
        <x:v>8</x:v>
      </x:c>
      <x:c r="B9" t="s">
        <x:v>27</x:v>
      </x:c>
      <x:c r="C9" s="3" t="s">
        <x:v>38</x:v>
      </x:c>
      <x:c r="D9" s="4">
        <x:v>12</x:v>
      </x:c>
      <x:c r="E9" s="4">
        <x:v>95</x:v>
      </x:c>
      <x:c r="F9" s="4" t="s">
        <x:v>32</x:v>
      </x:c>
      <x:c r="G9" s="3" t="s">
        <x:v>19</x:v>
      </x:c>
      <x:c r="H9" s="5">
        <x:v>0</x:v>
      </x:c>
      <x:c r="I9" s="5">
        <x:v>3.5</x:v>
      </x:c>
      <x:c r="J9" s="5">
        <x:v>1.5</x:v>
      </x:c>
      <x:c r="K9" s="5">
        <x:v>6</x:v>
      </x:c>
      <x:c r="L9" s="5">
        <x:v>0</x:v>
      </x:c>
      <x:c r="M9" s="5">
        <x:v>0</x:v>
      </x:c>
      <x:c r="N9" s="5">
        <x:v>0</x:v>
      </x:c>
      <x:c r="O9" s="5">
        <x:v>11</x:v>
      </x:c>
      <x:c r="P9" s="3" t="s">
        <x:v>39</x:v>
      </x:c>
    </x:row>
    <x:row r="10" ht="62">
      <x:c r="A10">
        <x:v>9</x:v>
      </x:c>
      <x:c r="B10" t="s">
        <x:v>27</x:v>
      </x:c>
      <x:c r="C10" s="3" t="s">
        <x:v>40</x:v>
      </x:c>
      <x:c r="D10" s="4">
        <x:v>6</x:v>
      </x:c>
      <x:c r="E10" s="4">
        <x:v>95</x:v>
      </x:c>
      <x:c r="F10" s="4" t="s">
        <x:v>32</x:v>
      </x:c>
      <x:c r="G10" s="3" t="s">
        <x:v>19</x:v>
      </x:c>
      <x:c r="H10" s="5">
        <x:v>0</x:v>
      </x:c>
      <x:c r="I10" s="5">
        <x:v>3.7</x:v>
      </x:c>
      <x:c r="J10" s="5">
        <x:v>2.7</x:v>
      </x:c>
      <x:c r="K10" s="5">
        <x:v>2</x:v>
      </x:c>
      <x:c r="L10" s="5">
        <x:v>0</x:v>
      </x:c>
      <x:c r="M10" s="5">
        <x:v>0</x:v>
      </x:c>
      <x:c r="N10" s="5">
        <x:v>0</x:v>
      </x:c>
      <x:c r="O10" s="5">
        <x:v>8.4</x:v>
      </x:c>
      <x:c r="P10" s="3" t="s">
        <x:v>41</x:v>
      </x:c>
    </x:row>
    <x:row r="11" ht="210" customHeight="1">
      <x:c r="A11" s="10">
        <x:v>10</x:v>
      </x:c>
      <x:c r="B11" s="10" t="s">
        <x:v>27</x:v>
      </x:c>
      <x:c r="C11" s="9" t="str">
        <x:v>Modelo de datos lógico (BD)</x:v>
      </x:c>
      <x:c r="D11" s="10">
        <x:v>25</x:v>
      </x:c>
      <x:c r="E11" s="10" t="n">
        <x:v>95</x:v>
      </x:c>
      <x:c r="F11" s="10" t="str">
        <x:v>En curso</x:v>
      </x:c>
      <x:c r="G11" s="9" t="str">
        <x:v>Aarón Mayorga, Luis Martínez</x:v>
      </x:c>
      <x:c r="H11" s="11">
        <x:v>0</x:v>
      </x:c>
      <x:c r="I11" s="11" t="n">
        <x:v>23.4</x:v>
      </x:c>
      <x:c r="J11" s="11" t="n">
        <x:v>24.7</x:v>
      </x:c>
      <x:c r="K11" s="11" t="n">
        <x:v>10</x:v>
      </x:c>
      <x:c r="L11" s="11">
        <x:v>0</x:v>
      </x:c>
      <x:c r="M11" s="11">
        <x:v>0</x:v>
      </x:c>
      <x:c r="N11" s="11">
        <x:v>0</x:v>
      </x:c>
      <x:c r="O11" s="11" t="n">
        <x:f>SUM(H11:N11)</x:f>
        <x:v>58.099999999999994</x:v>
      </x:c>
      <x:c r="P11" s="9" t="str">
        <x:v>Corte 26/10/2026: Modelo canónico ASEG versionado incorporado en migraciones, con formularios/alcances, versiones, capacidades, captura y revisión. El diseño implementado sí aporta evidencia; los candidatos de preguntas y decisiones aún sin código no elevan el porcentaje. Se conserva 95%.
Antecedentes hasta 04/09/2026: Modelo canónico de pre-registro, IAM y GTRS implementado; pendientes de waves posteriores. Equipo del avance: Aarón Mayorga 2.9 h y Luis Martínez 2.9 h. Actualización 27/08: Modelo lógico ampliado con cliente canónico por firma, snapshots de versión, Home, rol único, exportaciones y ciclo inicial de revisión. Horas estimadas del corte: Aarón 0.5 h; Luis Martínez 0.8 h. Actualización 04/09: Modelo ampliado para revisión, registro de clientes aceptados e identidad interna estable. PAC/PACC aún no tiene modelo funcional completo. Horas estimadas del corte: Luis Martínez 1.0 h.</x:v>
      </x:c>
    </x:row>
    <x:row r="12" ht="225" customHeight="1">
      <x:c r="A12" s="10">
        <x:v>11</x:v>
      </x:c>
      <x:c r="B12" s="10" t="s">
        <x:v>27</x:v>
      </x:c>
      <x:c r="C12" s="9" t="str">
        <x:v>Diseño de APIs (contratos)</x:v>
      </x:c>
      <x:c r="D12" s="10">
        <x:v>20</x:v>
      </x:c>
      <x:c r="E12" s="10" t="n">
        <x:v>95</x:v>
      </x:c>
      <x:c r="F12" s="10" t="str">
        <x:v>En curso</x:v>
      </x:c>
      <x:c r="G12" s="9" t="str">
        <x:v>Aarón Mayorga, Luis Martínez</x:v>
      </x:c>
      <x:c r="H12" s="11">
        <x:v>0</x:v>
      </x:c>
      <x:c r="I12" s="11" t="n">
        <x:v>7.1</x:v>
      </x:c>
      <x:c r="J12" s="11" t="n">
        <x:v>11.3</x:v>
      </x:c>
      <x:c r="K12" s="11" t="n">
        <x:v>10</x:v>
      </x:c>
      <x:c r="L12" s="11">
        <x:v>0</x:v>
      </x:c>
      <x:c r="M12" s="11">
        <x:v>0</x:v>
      </x:c>
      <x:c r="N12" s="11">
        <x:v>0</x:v>
      </x:c>
      <x:c r="O12" s="11" t="n">
        <x:f>SUM(H12:N12)</x:f>
        <x:v>28.4</x:v>
      </x:c>
      <x:c r="P12" s="9" t="str">
        <x:v>Corte 26/10/2026: Contratos .NET/HTTP y esquemas Zod ASEG reales para creación, lectura, guardado, opciones y concurrencia. GTRS incorpora autoría de revisión/aprobación y notificaciones. Se conserva 95%: faltan conexión completa del ciclo ASEG y definición funcional final de cuestionarios.
Antecedentes hasta 04/09/2026: Contratos canónicos de pre-registro, invitaciones y GTRS implementados y documentados; quedan verticales posteriores. Equipo del avance: Aarón Mayorga 4.7 h y Luis Martínez 4.7 h. Corte 14/07–04/08 (GitHub): Aarón 2.0 h; Luis Martínez 5.0 h. Actualización 27/08: Contratos canónicos para catálogos bilingües, captura y envío, Home por vistas y acciones, exportación e inicio de revisión; quedan las transiciones R3/R4. Horas estimadas del corte: Aarón 0.4 h; Luis Martínez 0.6 h. Actualización 04/09: Contratos de revisión, registro aceptado e IAM interno ampliados. Los contratos PACC y de notificaciones siguen incompletos. Horas estimadas del corte: Luis Martínez 1.0 h.</x:v>
      </x:c>
    </x:row>
    <x:row r="13" ht="30" customHeight="1">
      <x:c r="A13">
        <x:v>12</x:v>
      </x:c>
      <x:c r="B13" t="s">
        <x:v>27</x:v>
      </x:c>
      <x:c r="C13" s="3" t="s">
        <x:v>42</x:v>
      </x:c>
      <x:c r="D13" s="4">
        <x:v>4</x:v>
      </x:c>
      <x:c r="E13" s="4">
        <x:v>100</x:v>
      </x:c>
      <x:c r="F13" s="4" t="s">
        <x:v>18</x:v>
      </x:c>
      <x:c r="G13" s="3" t="s">
        <x:v>35</x:v>
      </x:c>
      <x:c r="H13" s="5">
        <x:v>0</x:v>
      </x:c>
      <x:c r="I13" s="5">
        <x:v>2</x:v>
      </x:c>
      <x:c r="J13" s="5">
        <x:v>1</x:v>
      </x:c>
      <x:c r="K13" s="5">
        <x:v>4</x:v>
      </x:c>
      <x:c r="L13" s="5">
        <x:v>0</x:v>
      </x:c>
      <x:c r="M13" s="5">
        <x:v>0</x:v>
      </x:c>
      <x:c r="N13" s="5">
        <x:v>0</x:v>
      </x:c>
      <x:c r="O13" s="5">
        <x:v>7</x:v>
      </x:c>
      <x:c r="P13" s="3" t="s">
        <x:v>43</x:v>
      </x:c>
    </x:row>
    <x:row r="14" ht="165" customHeight="1">
      <x:c r="A14" s="10">
        <x:v>13</x:v>
      </x:c>
      <x:c r="B14" s="10" t="s">
        <x:v>27</x:v>
      </x:c>
      <x:c r="C14" s="9" t="str">
        <x:v>Config. ambiente de desarrollo</x:v>
      </x:c>
      <x:c r="D14" s="10">
        <x:v>1</x:v>
      </x:c>
      <x:c r="E14" s="10" t="n">
        <x:v>90</x:v>
      </x:c>
      <x:c r="F14" s="10" t="str">
        <x:v>En curso</x:v>
      </x:c>
      <x:c r="G14" s="9" t="str">
        <x:v>Aarón Mayorga, Luis Martínez</x:v>
      </x:c>
      <x:c r="H14" s="11">
        <x:v>0</x:v>
      </x:c>
      <x:c r="I14" s="11" t="n">
        <x:v>3.1</x:v>
      </x:c>
      <x:c r="J14" s="11" t="n">
        <x:v>0.1</x:v>
      </x:c>
      <x:c r="K14" s="11" t="n">
        <x:v>1</x:v>
      </x:c>
      <x:c r="L14" s="11">
        <x:v>0</x:v>
      </x:c>
      <x:c r="M14" s="11">
        <x:v>0</x:v>
      </x:c>
      <x:c r="N14" s="11">
        <x:v>0</x:v>
      </x:c>
      <x:c r="O14" s="11" t="n">
        <x:f>SUM(H14:N14)</x:f>
        <x:v>4.2</x:v>
      </x:c>
      <x:c r="P14" s="9" t="str">
        <x:v>Corte 26/10/2026: Entorno y harness local ASEG aislado disponibles para validación API/PostgREST/PostgreSQL con identidades sintéticas. No acredita Microsoft/BFF ni ambiente productivo. Se conserva el porcentaje.
Antecedentes hasta 04/09/2026: Ambiente local documentado; la configuración definitiva de Microsoft Entra por ambiente sigue pendiente. Equipo del avance: Aarón Mayorga 0.1 h y Luis Martínez 0.1 h. Corte 14/07–04/08 (GitHub): Aarón 1.0 h; Luis Martínez 0.0 h. Actualización 04/09: Configuración Entra y QA preparada. La vinculación durable sigue detrás de un flag y un puente temporal de preproducción. Horas estimadas del corte: Aarón 2.0 h.</x:v>
      </x:c>
    </x:row>
    <x:row r="15" ht="30" customHeight="1">
      <x:c r="A15">
        <x:v>14</x:v>
      </x:c>
      <x:c r="B15" t="s">
        <x:v>27</x:v>
      </x:c>
      <x:c r="C15" s="3" t="s">
        <x:v>44</x:v>
      </x:c>
      <x:c r="D15" s="4">
        <x:v>8</x:v>
      </x:c>
      <x:c r="E15" s="4">
        <x:v>100</x:v>
      </x:c>
      <x:c r="F15" s="4" t="s">
        <x:v>18</x:v>
      </x:c>
      <x:c r="G15" s="3" t="s">
        <x:v>45</x:v>
      </x:c>
      <x:c r="H15" s="5">
        <x:v>0</x:v>
      </x:c>
      <x:c r="I15" s="5">
        <x:v>2</x:v>
      </x:c>
      <x:c r="J15" s="5">
        <x:v>2</x:v>
      </x:c>
      <x:c r="K15" s="5">
        <x:v>8</x:v>
      </x:c>
      <x:c r="L15" s="5">
        <x:v>0</x:v>
      </x:c>
      <x:c r="M15" s="5">
        <x:v>0</x:v>
      </x:c>
      <x:c r="N15" s="5">
        <x:v>0</x:v>
      </x:c>
      <x:c r="O15" s="5">
        <x:v>12</x:v>
      </x:c>
      <x:c r="P15" s="3" t="s">
        <x:v>46</x:v>
      </x:c>
    </x:row>
    <x:row r="16" ht="210" customHeight="1">
      <x:c r="A16" s="10">
        <x:v>15</x:v>
      </x:c>
      <x:c r="B16" s="10" t="s">
        <x:v>27</x:v>
      </x:c>
      <x:c r="C16" s="9" t="str">
        <x:v>Config. ambiente de pruebas</x:v>
      </x:c>
      <x:c r="D16" s="10">
        <x:v>10</x:v>
      </x:c>
      <x:c r="E16" s="10" t="n">
        <x:v>95</x:v>
      </x:c>
      <x:c r="F16" s="10" t="str">
        <x:v>En curso</x:v>
      </x:c>
      <x:c r="G16" s="9" t="str">
        <x:v>Aarón Mayorga, Luis Martínez</x:v>
      </x:c>
      <x:c r="H16" s="11">
        <x:v>0</x:v>
      </x:c>
      <x:c r="I16" s="11" t="n">
        <x:v>6</x:v>
      </x:c>
      <x:c r="J16" s="11" t="n">
        <x:v>7.1</x:v>
      </x:c>
      <x:c r="K16" s="11" t="n">
        <x:v>0</x:v>
      </x:c>
      <x:c r="L16" s="11">
        <x:v>0</x:v>
      </x:c>
      <x:c r="M16" s="11">
        <x:v>0</x:v>
      </x:c>
      <x:c r="N16" s="11">
        <x:v>0</x:v>
      </x:c>
      <x:c r="O16" s="11" t="n">
        <x:f t="shared" ref="O16:O26" si="0">SUM(H16:N16)</x:f>
        <x:v>13.1</x:v>
      </x:c>
      <x:c r="P16" s="9" t="str">
        <x:v>Corte 26/10/2026: Pruebas frontend, .NET, pgTAP y navegador local ASEG versionadas. Hoy pasaron 118 pruebas focalizadas en 8 suites de DTOs, servicios, hooks y vistas. No se convierten en UAT humana ni cierran aceptación por ambiente.
Antecedentes hasta 04/09/2026: Pruebas frontend, backend, esquema y concurrencia disponibles; pendiente completar validación por ambientes. Equipo del avance: Aarón Mayorga 0.8 h y Luis Martínez 0.8 h. Corte 14/07–04/08 (GitHub): Aarón 2.0 h; Luis Martínez 4.0 h. Actualización 27/08: Entorno de pruebas reforzado para Windows y CRLF; reset Supabase, PgTAP, concurrencia, frontend, E2E y .NET verificados. Horas estimadas del corte: Aarón 0.2 h; Luis Martínez 0.3 h. Actualización 04/09: Playwright reorganizado y suites de arquitectura, frontend, .NET y base de datos ampliadas. Falta validación humana por ambiente. Horas estimadas del corte: Aarón 3.0 h; Luis Martínez 2.0 h.</x:v>
      </x:c>
    </x:row>
    <x:row r="17" ht="210" customHeight="1">
      <x:c r="A17" s="10">
        <x:v>16</x:v>
      </x:c>
      <x:c r="B17" s="10" t="s">
        <x:v>27</x:v>
      </x:c>
      <x:c r="C17" s="9" t="str">
        <x:v>Automatización CI/CD</x:v>
      </x:c>
      <x:c r="D17" s="10">
        <x:v>5</x:v>
      </x:c>
      <x:c r="E17" s="10" t="n">
        <x:v>95</x:v>
      </x:c>
      <x:c r="F17" s="10" t="str">
        <x:v>En curso</x:v>
      </x:c>
      <x:c r="G17" s="9" t="str">
        <x:v>Aarón Mayorga, Luis Martínez, Daniel Pulido</x:v>
      </x:c>
      <x:c r="H17" s="11">
        <x:v>0</x:v>
      </x:c>
      <x:c r="I17" s="11" t="n">
        <x:v>7.3</x:v>
      </x:c>
      <x:c r="J17" s="11" t="n">
        <x:v>4.4</x:v>
      </x:c>
      <x:c r="K17" s="11" t="n">
        <x:v>3</x:v>
      </x:c>
      <x:c r="L17" s="11">
        <x:v>0</x:v>
      </x:c>
      <x:c r="M17" s="11">
        <x:v>0</x:v>
      </x:c>
      <x:c r="N17" s="11">
        <x:v>0</x:v>
      </x:c>
      <x:c r="O17" s="11" t="n">
        <x:f t="shared" si="0">SUM(H17:N17)</x:f>
        <x:v>14.7</x:v>
      </x:c>
      <x:c r="P17" s="9" t="str">
        <x:v>Corte 26/10/2026: CI y secuencia de despliegue web/API ajustadas, con aislamiento de Chromium. El pipeline técnico no acredita el despliegue/activación funcional de ASEG ni producción integral. Se conserva 95%.
Antecedentes hasta 04/09/2026: CI de frontend, backend, esquema Supabase y contexto configurado; pendiente validar despliegue integral. Equipo del avance: Aarón Mayorga 1.2 h y Luis Martínez 1.2 h. Corte 14/07–04/08 (GitHub): Aarón 3.0 h; Luis Martínez 3.0 h. Actualización 27/08: CI y rollout del Home ajustados; runner expand/contract y reglas LF incorporados. Release B y migraciones remotas de completitud siguen pendientes. Horas estimadas del corte: Aarón 0.1 h; Luis Martínez 0.2 h. Actualización 04/09: Workflows de infraestructura y CD, OIDC y verificaciones QA añadidos. El despliegue productivo integral no está aceptado. Horas estimadas del corte: Aarón 3.0 h; Daniel 3.0 h.</x:v>
      </x:c>
    </x:row>
    <x:row r="18" ht="180" customHeight="1">
      <x:c r="A18" s="10">
        <x:v>17</x:v>
      </x:c>
      <x:c r="B18" s="10" t="s">
        <x:v>47</x:v>
      </x:c>
      <x:c r="C18" s="9" t="str">
        <x:v>Config. modelo de datos (Tablas, llaves)</x:v>
      </x:c>
      <x:c r="D18" s="10">
        <x:v>28</x:v>
      </x:c>
      <x:c r="E18" s="10" t="n">
        <x:v>100</x:v>
      </x:c>
      <x:c r="F18" s="10" t="str">
        <x:v>Listo</x:v>
      </x:c>
      <x:c r="G18" s="9" t="str">
        <x:v>Aarón Mayorga, Luis Martínez</x:v>
      </x:c>
      <x:c r="H18" s="11">
        <x:v>0</x:v>
      </x:c>
      <x:c r="I18" s="11" t="n">
        <x:v>4.9</x:v>
      </x:c>
      <x:c r="J18" s="11" t="n">
        <x:v>11.1</x:v>
      </x:c>
      <x:c r="K18" s="11" t="n">
        <x:v>10</x:v>
      </x:c>
      <x:c r="L18" s="11">
        <x:v>0</x:v>
      </x:c>
      <x:c r="M18" s="11">
        <x:v>0</x:v>
      </x:c>
      <x:c r="N18" s="11">
        <x:v>0</x:v>
      </x:c>
      <x:c r="O18" s="11" t="n">
        <x:f t="shared" si="0">SUM(H18:N18)</x:f>
        <x:v>26</x:v>
      </x:c>
      <x:c r="P18" s="9" t="str">
        <x:v>Corte 26/10/2026: Nuevas migraciones canónicas ASEG agregan plantillas/versiones, compromisos, capacidades, acreditaciones y hechos de revisión. El 100% corresponde a estructura técnica de datos; no implica cuestionarios publicados ni migración de datos históricos.
Antecedentes hasta 04/09/2026: Esquema canónico, llaves y restricciones de pre-registro/GTRS implementados; pendientes de waves posteriores. Equipo del avance: Aarón Mayorga 3.3 h y Luis Martínez 3.3 h. Corte 14/07–04/08 (GitHub): Aarón 1.0 h; Luis Martínez 7.0 h. Actualización 27/08: Tablas, llaves, catálogos, read models, snapshot de renovación, rol único y persistencia de observaciones integrados para el alcance actual. Horas estimadas del corte: Aarón 0.6 h; Luis Martínez 0.8 h.</x:v>
      </x:c>
    </x:row>
    <x:row r="19" ht="210" customHeight="1">
      <x:c r="A19" s="10">
        <x:v>18</x:v>
      </x:c>
      <x:c r="B19" s="10" t="s">
        <x:v>47</x:v>
      </x:c>
      <x:c r="C19" s="9" t="str">
        <x:v>Stored Procedures y Funciones</x:v>
      </x:c>
      <x:c r="D19" s="10">
        <x:v>12</x:v>
      </x:c>
      <x:c r="E19" s="10" t="n">
        <x:v>100</x:v>
      </x:c>
      <x:c r="F19" s="10" t="str">
        <x:v>Listo</x:v>
      </x:c>
      <x:c r="G19" s="9" t="str">
        <x:v>Aarón Mayorga, Luis Martínez</x:v>
      </x:c>
      <x:c r="H19" s="11">
        <x:v>0</x:v>
      </x:c>
      <x:c r="I19" s="11" t="n">
        <x:v>4.5</x:v>
      </x:c>
      <x:c r="J19" s="11" t="n">
        <x:v>10.7</x:v>
      </x:c>
      <x:c r="K19" s="11" t="n">
        <x:v>2</x:v>
      </x:c>
      <x:c r="L19" s="11">
        <x:v>0</x:v>
      </x:c>
      <x:c r="M19" s="11">
        <x:v>0</x:v>
      </x:c>
      <x:c r="N19" s="11">
        <x:v>0</x:v>
      </x:c>
      <x:c r="O19" s="11" t="n">
        <x:f t="shared" si="0">SUM(H19:N19)</x:f>
        <x:v>17.2</x:v>
      </x:c>
      <x:c r="P19" s="9" t="str">
        <x:v>Corte 26/10/2026: RPC canónicas ASEG para creación/captura, check, aprobaciones, extensiones, renovaciones y resultados implementadas y cubiertas por pruebas. La publicación funcional, activación y UI completa siguen pendientes. Las horas se imputan a ASEG sin duplicarlas aquí.
Antecedentes hasta 04/09/2026: RPC y funciones de pre-registro, invitaciones, GTRS, idempotencia y alcance global implementadas. Equipo del avance: Aarón Mayorga 3.3 h y Luis Martínez 3.3 h. Corte 14/07–04/08 (GitHub): Aarón 1.0 h; Luis Martínez 5.0 h. Actualización 27/08: RPC y funciones para captura, listado, renovación, exportación, completitud e inicio seguro de revisión integradas. Horas estimadas del corte: Aarón 0.2 h; Luis Martínez 0.4 h. Actualización 04/09: Funciones canónicas de revisión y registro aceptado ampliadas. El 100% corresponde al alcance GTRS vigente, no a PACC. Horas estimadas del corte: Luis Martínez 2.0 h.</x:v>
      </x:c>
    </x:row>
    <x:row r="20" ht="210" customHeight="1">
      <x:c r="A20" s="10">
        <x:v>19</x:v>
      </x:c>
      <x:c r="B20" s="10" t="s">
        <x:v>47</x:v>
      </x:c>
      <x:c r="C20" s="9" t="str">
        <x:v>Implementación de triggers</x:v>
      </x:c>
      <x:c r="D20" s="10">
        <x:v>13</x:v>
      </x:c>
      <x:c r="E20" s="10" t="n">
        <x:v>95</x:v>
      </x:c>
      <x:c r="F20" s="10" t="str">
        <x:v>En curso</x:v>
      </x:c>
      <x:c r="G20" s="9" t="str">
        <x:v>Aarón Mayorga, Luis Martínez</x:v>
      </x:c>
      <x:c r="H20" s="11">
        <x:v>0</x:v>
      </x:c>
      <x:c r="I20" s="11" t="n">
        <x:v>4</x:v>
      </x:c>
      <x:c r="J20" s="11" t="n">
        <x:v>10.3</x:v>
      </x:c>
      <x:c r="K20" s="11" t="n">
        <x:v>0</x:v>
      </x:c>
      <x:c r="L20" s="11">
        <x:v>0</x:v>
      </x:c>
      <x:c r="M20" s="11">
        <x:v>0</x:v>
      </x:c>
      <x:c r="N20" s="11">
        <x:v>0</x:v>
      </x:c>
      <x:c r="O20" s="11" t="n">
        <x:f t="shared" si="0">SUM(H20:N20)</x:f>
        <x:v>14.3</x:v>
      </x:c>
      <x:c r="P20" s="9" t="str">
        <x:v>Corte 26/10/2026: Triggers y funciones transaccionales ampliados para auditoría canónica, eventos/notificaciones GTRS e invariantes ASEG. No se presume completa la matriz de comunicaciones ni la aceptación operativa.
Antecedentes hasta 04/09/2026: Automatizaciones y auditoría transaccional implementadas en flujos Core; cobertura de módulos posteriores pendiente. Equipo del avance: Aarón Mayorga 3.5 h y Luis Martínez 3.5 h. Corte 14/07–04/08 (GitHub): Aarón 0.0 h; Luis Martínez 4.0 h. Actualización 27/08: Auditoría e invariantes reforzadas para identidad, snapshots, observaciones y transiciones; permanece pendiente la cobertura de las etapas posteriores de revisión. Horas estimadas del corte: Aarón 0.5 h; Luis Martínez 0.8 h. Actualización 04/09: Invariantes, eventos y cron para revisión, lista e IAM integrados. PACC y notificaciones todavía no están cubiertos. Horas estimadas del corte: Luis Martínez 2.0 h.</x:v>
      </x:c>
    </x:row>
    <x:row r="21" ht="225" customHeight="1">
      <x:c r="A21" s="10">
        <x:v>20</x:v>
      </x:c>
      <x:c r="B21" s="10" t="s">
        <x:v>47</x:v>
      </x:c>
      <x:c r="C21" s="9" t="str">
        <x:v>Implementación de RBAC</x:v>
      </x:c>
      <x:c r="D21" s="10">
        <x:v>17</x:v>
      </x:c>
      <x:c r="E21" s="10" t="n">
        <x:v>95</x:v>
      </x:c>
      <x:c r="F21" s="10" t="str">
        <x:v>En curso</x:v>
      </x:c>
      <x:c r="G21" s="9" t="str">
        <x:v>Aarón Mayorga, Luis Martínez</x:v>
      </x:c>
      <x:c r="H21" s="11">
        <x:v>0</x:v>
      </x:c>
      <x:c r="I21" s="11" t="n">
        <x:v>33</x:v>
      </x:c>
      <x:c r="J21" s="11" t="n">
        <x:v>13.1</x:v>
      </x:c>
      <x:c r="K21" s="11" t="n">
        <x:v>0</x:v>
      </x:c>
      <x:c r="L21" s="11">
        <x:v>0</x:v>
      </x:c>
      <x:c r="M21" s="11">
        <x:v>0</x:v>
      </x:c>
      <x:c r="N21" s="11">
        <x:v>0</x:v>
      </x:c>
      <x:c r="O21" s="11" t="n">
        <x:f t="shared" si="0">SUM(H21:N21)</x:f>
        <x:v>46.1</x:v>
      </x:c>
      <x:c r="P21" s="9" t="str">
        <x:v>Corte 26/10/2026: Microsoft multitenant y activación desde prealta, sesión BFF y capacidades individuales/acreditaciones ASEG implementados. Pendientes aceptación humana de tenants/bloqueo/offboarding, carga autorizada de acreditaciones y activación ASEG. Se conserva 95%. Horas estimadas del corte: Aarón Mayorga 12 h; Luis Martínez 4 h.
Antecedentes hasta 04/09/2026: RBAC, capacidades y alcance por firma/global endurecidos; aprovisionamiento Microsoft y configuración avanzada pendientes. Equipo del avance: Aarón Mayorga 2.6 h y Luis Martínez 2.6 h. Corte 14/07–04/08 (GitHub): Aarón 3.0 h; Luis Martínez 6.0 h. Actualización 27/08: Alcance por firma y propiedad, cliente externo, rol único, acciones por recurso y separación Administración/Riesgo cerrados; Entra permanece pendiente. Horas estimadas del corte: Aarón 0.4 h; Luis Martínez 0.5 h. Actualización 04/09: Acceso interno estable y preautorización Entra implementados. Quedan activación QA, vinculación durable y permisos PACC. Horas estimadas del corte: Aarón 8.0 h.</x:v>
      </x:c>
    </x:row>
    <x:row r="22" ht="270" customHeight="1">
      <x:c r="A22" s="10">
        <x:v>21</x:v>
      </x:c>
      <x:c r="B22" s="10" t="s">
        <x:v>47</x:v>
      </x:c>
      <x:c r="C22" s="9" t="str">
        <x:v>Módulo de Administración</x:v>
      </x:c>
      <x:c r="D22" s="10">
        <x:v>70</x:v>
      </x:c>
      <x:c r="E22" s="10" t="n">
        <x:v>95</x:v>
      </x:c>
      <x:c r="F22" s="10" t="str">
        <x:v>En curso</x:v>
      </x:c>
      <x:c r="G22" s="9" t="str">
        <x:v>Aarón Mayorga, Luis Martínez</x:v>
      </x:c>
      <x:c r="H22" s="11">
        <x:v>0</x:v>
      </x:c>
      <x:c r="I22" s="11" t="n">
        <x:v>55.9</x:v>
      </x:c>
      <x:c r="J22" s="11" t="n">
        <x:v>43.1</x:v>
      </x:c>
      <x:c r="K22" s="11" t="n">
        <x:v>0</x:v>
      </x:c>
      <x:c r="L22" s="11">
        <x:v>0</x:v>
      </x:c>
      <x:c r="M22" s="11">
        <x:v>0</x:v>
      </x:c>
      <x:c r="N22" s="11">
        <x:v>0</x:v>
      </x:c>
      <x:c r="O22" s="11" t="n">
        <x:f t="shared" si="0">SUM(H22:N22)</x:f>
        <x:v>99</x:v>
      </x:c>
      <x:c r="P22" s="9" t="str">
        <x:v>Corte 26/10/2026: Administración incorpora prealta con aviso de acceso, auditoría canónica consultable con filtros y bandeja/notificaciones Wave 1B. Quedan gestión IAM diferida, aprobación por correo deshabilitada, comunicaciones completas y UAT. No se acredita una matriz universal de correos. Horas estimadas del corte: Aarón Mayorga 20 h; Luis Martínez 12 h.
Antecedentes hasta 04/09/2026: Pre-registro full-stack integrado en Administrativo: bandeja, creación, invitaciones, aceptación passwordless, auditoría e idempotencia. Pendientes clientes/tenants y aprovisionamiento Microsoft. Equipo del avance: Aarón Mayorga 19.0 h y Luis Martínez 19.0 h. Corte 14/07–04/08 (GitHub): Aarón 8.0 h; Luis Martínez 4.0 h. Actualización 27/08: Bandeja de pre-registro pulida, contratos de identificación corregidos y Home administrativo global integrado. Aprovisionamiento Microsoft permanece pendiente. Horas estimadas del corte: Aarón 2.9 h; Luis Martínez 4.1 h. Actualización 04/09: Administración de usuarios, preautorizaciones y registro aceptado avanzaron. Faltan activación QA, lista oficial condicionada por PACC y avisos por correo o Teams. Horas estimadas del corte: Aarón 6.0 h; Luis Martínez 4.0 h.</x:v>
      </x:c>
    </x:row>
    <x:row r="23" ht="225" customHeight="1">
      <x:c r="A23" s="10">
        <x:v>22</x:v>
      </x:c>
      <x:c r="B23" s="10" t="s">
        <x:v>47</x:v>
      </x:c>
      <x:c r="C23" s="9" t="str">
        <x:v>Módulo Formulario GTRS</x:v>
      </x:c>
      <x:c r="D23" s="10">
        <x:v>124</x:v>
      </x:c>
      <x:c r="E23" s="10" t="n">
        <x:v>95</x:v>
      </x:c>
      <x:c r="F23" s="10" t="str">
        <x:v>En curso</x:v>
      </x:c>
      <x:c r="G23" s="9" t="str">
        <x:v>Aarón Mayorga, Luis Martínez</x:v>
      </x:c>
      <x:c r="H23" s="11">
        <x:v>0</x:v>
      </x:c>
      <x:c r="I23" s="11" t="n">
        <x:v>139.9</x:v>
      </x:c>
      <x:c r="J23" s="11" t="n">
        <x:v>63.9</x:v>
      </x:c>
      <x:c r="K23" s="11" t="n">
        <x:v>0</x:v>
      </x:c>
      <x:c r="L23" s="11">
        <x:v>0</x:v>
      </x:c>
      <x:c r="M23" s="11">
        <x:v>0</x:v>
      </x:c>
      <x:c r="N23" s="11">
        <x:v>0</x:v>
      </x:c>
      <x:c r="O23" s="11" t="n">
        <x:f t="shared" si="0">SUM(H23:N23)</x:f>
        <x:v>203.8</x:v>
      </x:c>
      <x:c r="P23" s="9" t="str">
        <x:v>Corte 26/10/2026: Captura GTRS mejorada en guardado por sección, filas dinámicas, foco/errores, resumen, catálogos ES/EN y contratos reales. Conserva 95% por UAT, decisiones de completitud/Términos y ajustes de identidad pendientes. Horas estimadas del corte: Aarón Mayorga 20 h; Luis Martínez 4 h.
Antecedentes hasta 04/09/2026: Backend GTRS cerrado para 8 secciones, lectura, ETag y submit atómico; el frontend /formulario-gtrs-v2 aún usa definición y solicitud mock. Equipo del avance: Aarón Mayorga 24.1 h y Luis Martínez 24.1 h. Corte 14/07–04/08 (GitHub): Aarón 8.0 h; Luis Martínez 10.0 h. Actualización 27/08: Formulario canónico integrado en las nueve secciones con catálogos, hidratación, guardado/envío, Personal clave, validaciones y navegación segura. Pendiente UAT. Horas estimadas del corte: Aarón 17.8 h; Luis Martínez 25.8 h. Actualización 04/09: Sin incremento de avance. La captura GTRS está integrada, pero faltan UAT, corrección y reenvío, y notificaciones del ciclo. Sin horas atribuidas en este corte.</x:v>
      </x:c>
    </x:row>
    <x:row r="24" ht="255" customHeight="1">
      <x:c r="A24" s="10">
        <x:v>23</x:v>
      </x:c>
      <x:c r="B24" s="10" t="s">
        <x:v>47</x:v>
      </x:c>
      <x:c r="C24" s="9" t="str">
        <x:v>Módulo Revisión de GTRS</x:v>
      </x:c>
      <x:c r="D24" s="10">
        <x:v>142</x:v>
      </x:c>
      <x:c r="E24" s="10" t="n">
        <x:v>95</x:v>
      </x:c>
      <x:c r="F24" s="10" t="str">
        <x:v>En curso</x:v>
      </x:c>
      <x:c r="G24" s="9" t="str">
        <x:v>Aarón Mayorga, Luis Martínez</x:v>
      </x:c>
      <x:c r="H24" s="11">
        <x:v>0</x:v>
      </x:c>
      <x:c r="I24" s="11" t="n">
        <x:v>49.3</x:v>
      </x:c>
      <x:c r="J24" s="11" t="n">
        <x:v>61.4</x:v>
      </x:c>
      <x:c r="K24" s="11" t="n">
        <x:v>0</x:v>
      </x:c>
      <x:c r="L24" s="11">
        <x:v>0</x:v>
      </x:c>
      <x:c r="M24" s="11">
        <x:v>0</x:v>
      </x:c>
      <x:c r="N24" s="11">
        <x:v>0</x:v>
      </x:c>
      <x:c r="O24" s="11" t="n">
        <x:f t="shared" si="0">SUM(H24:N24)</x:f>
        <x:v>110.69999999999999</x:v>
      </x:c>
      <x:c r="P24" s="9" t="str">
        <x:v>Corte 26/10/2026: Corrección y reenvío canónicos tras devolución implementados; observaciones visibles por envío, cierre de observaciones al aprobar, reasignación y autor/fecha de aprobación trazables. Falta UAT humana completa y comunicaciones de aprobación/rechazo; no se marca terminado. Horas estimadas del corte: Aarón Mayorga 12 h; Luis Martínez 12 h.
Antecedentes hasta 04/09/2026: State machine, autorización y contratos de revisión presentes; integración funcional completa de revisión/UI pendiente. Equipo del avance: Aarón Mayorga 16.6 h y Luis Martínez 16.6 h. Corte 14/07–04/08 (GitHub): Aarón 5.0 h; Luis Martínez 3.0 h. Actualización 27/08: Cola y lecturas de Riesgo, ruta dedicada, persistencia de observaciones e inicio de revisión implementados. Pendientes editar, publicar, resolver y las transiciones finales. Horas estimadas del corte: Aarón 11.7 h; Luis Martínez 16.8 h. Actualización 04/09: Observaciones y decisiones atómicas, interfaz real, trazabilidad, navegación y reasignación desplegadas. Faltan repetición manual, corrección y reenvío, y correos del proceso. Horas estimadas del corte: Aarón 4.0 h; Luis Martínez 13.0 h.</x:v>
      </x:c>
    </x:row>
    <x:row r="25" ht="240" customHeight="1">
      <x:c r="A25" s="10">
        <x:v>24</x:v>
      </x:c>
      <x:c r="B25" s="10" t="s">
        <x:v>47</x:v>
      </x:c>
      <x:c r="C25" s="9" t="str">
        <x:v>Módulo Portal de Captura</x:v>
      </x:c>
      <x:c r="D25" s="10">
        <x:v>142</x:v>
      </x:c>
      <x:c r="E25" s="10" t="n">
        <x:v>95</x:v>
      </x:c>
      <x:c r="F25" s="10" t="str">
        <x:v>En curso</x:v>
      </x:c>
      <x:c r="G25" s="9" t="str">
        <x:v>Aarón Mayorga, Luis Martínez</x:v>
      </x:c>
      <x:c r="H25" s="11">
        <x:v>0</x:v>
      </x:c>
      <x:c r="I25" s="11" t="n">
        <x:v>62.8</x:v>
      </x:c>
      <x:c r="J25" s="11" t="n">
        <x:v>71.5</x:v>
      </x:c>
      <x:c r="K25" s="11" t="n">
        <x:v>0</x:v>
      </x:c>
      <x:c r="L25" s="11">
        <x:v>0</x:v>
      </x:c>
      <x:c r="M25" s="11">
        <x:v>0</x:v>
      </x:c>
      <x:c r="N25" s="11">
        <x:v>0</x:v>
      </x:c>
      <x:c r="O25" s="11" t="n">
        <x:f t="shared" si="0">SUM(H25:N25)</x:f>
        <x:v>134.3</x:v>
      </x:c>
      <x:c r="P25" s="9" t="str">
        <x:v>Corte 26/10/2026: Mis registros usa flujo real de corrección/reenvío y creación contextual por asignación, sin la antigua demo Devoluciones. La devolución dispone de correo durable parcial. Pendientes matriz de comunicaciones, completitud acordada y validación humana multiescenario. Horas estimadas del corte: Aarón Mayorga 4 h; Luis Martínez 4 h.
Antecedentes hasta 04/09/2026: Invitación, aceptación passwordless, Magic Link y acceso externo multiempresa implementados; captura GTRS vertical pendiente. Equipo del avance: Aarón Mayorga 27.6 h y Luis Martínez 27.6 h. Corte 14/07–04/08 (GitHub): Aarón 5.0 h; Luis Martínez 2.0 h. Actualización 27/08: Portal externo con Magic Link estable, Mis registros reales, creación contextual y GTRS adicionales, captura completa y controles de acceso. Pendiente UAT. Horas estimadas del corte: Aarón 26.2 h; Luis Martínez 37.9 h. Actualización 04/09: Se mantiene el avance. El portal opera para GTRS, pero la devolución y el reenvío, y los correos del proceso siguen incompletos. Sin horas atribuidas en este corte.</x:v>
      </x:c>
    </x:row>
    <x:row r="26" ht="240" customHeight="1">
      <x:c r="A26" s="10">
        <x:v>25</x:v>
      </x:c>
      <x:c r="B26" s="10" t="s">
        <x:v>47</x:v>
      </x:c>
      <x:c r="C26" s="9" t="str">
        <x:v>Módulo Portal Interno</x:v>
      </x:c>
      <x:c r="D26" s="10">
        <x:v>40</x:v>
      </x:c>
      <x:c r="E26" s="10" t="n">
        <x:v>95</x:v>
      </x:c>
      <x:c r="F26" s="10" t="str">
        <x:v>En curso</x:v>
      </x:c>
      <x:c r="G26" s="9" t="str">
        <x:v>Aarón Mayorga, Luis Martínez</x:v>
      </x:c>
      <x:c r="H26" s="11">
        <x:v>0</x:v>
      </x:c>
      <x:c r="I26" s="11" t="n">
        <x:v>22.7</x:v>
      </x:c>
      <x:c r="J26" s="11" t="n">
        <x:v>22.9</x:v>
      </x:c>
      <x:c r="K26" s="11" t="n">
        <x:v>0</x:v>
      </x:c>
      <x:c r="L26" s="11">
        <x:v>0</x:v>
      </x:c>
      <x:c r="M26" s="11">
        <x:v>0</x:v>
      </x:c>
      <x:c r="N26" s="11">
        <x:v>0</x:v>
      </x:c>
      <x:c r="O26" s="11" t="n">
        <x:f t="shared" si="0">SUM(H26:N26)</x:f>
        <x:v>45.599999999999994</x:v>
      </x:c>
      <x:c r="P26" s="9" t="str">
        <x:v>Corte 26/10/2026: Home/lista real integra trazabilidad de revisión/aprobación, catálogos y entrada hacia creación ASEG. El registro de clientes nace de GTRS aceptado; la disponibilidad funcional de ASEG y su integración oficial completa siguen pendientes. No se equipara la entrada visual con un ASEG operativo. Horas estimadas del corte: Aarón Mayorga 4 h; Luis Martínez 4 h.
Antecedentes hasta 04/09/2026: Pre-registro interno, guards, permisos y gestión de usuarios integrados; otros workspaces conservan mocks/prototipos. Equipo del avance: Aarón Mayorga 7.8 h y Luis Martínez 7.8 h. Corte 14/07–04/08 (GitHub): Aarón 4.0 h; Luis Martínez 1.0 h. Actualización 27/08: Home interno por rol con datos reales, filtros, paginación, creación, renovación, exportación y navegación a revisión; reasignación quedó fuera de alcance. Horas estimadas del corte: Aarón 4.9 h; Luis Martínez 7.1 h. Actualización 04/09: Registro de clientes aceptados full-stack y Home e IAM integrados. La lista oficial depende también de PACC y falta publicar y probar la interfaz. Horas estimadas del corte: Aarón 2.0 h; Luis Martínez 3.0 h.</x:v>
      </x:c>
    </x:row>
    <x:row r="27" ht="180" customHeight="1">
      <x:c r="A27" s="10">
        <x:v>26</x:v>
      </x:c>
      <x:c r="B27" s="10" t="s">
        <x:v>47</x:v>
      </x:c>
      <x:c r="C27" s="9" t="str">
        <x:v>Módulo Formulario ASEG (Aseguramiento)</x:v>
      </x:c>
      <x:c r="D27" s="10">
        <x:v>66</x:v>
      </x:c>
      <x:c r="E27" s="10" t="n">
        <x:v>45</x:v>
      </x:c>
      <x:c r="F27" s="10" t="str">
        <x:v>En curso</x:v>
      </x:c>
      <x:c r="G27" s="9" t="str">
        <x:v>Luis Montero, Aarón Mayorga, Luis Martínez</x:v>
      </x:c>
      <x:c r="H27" s="11">
        <x:v>0</x:v>
      </x:c>
      <x:c r="I27" s="11" t="n">
        <x:v>16</x:v>
      </x:c>
      <x:c r="J27" s="11" t="n">
        <x:v>28</x:v>
      </x:c>
      <x:c r="K27" s="11" t="n">
        <x:v>0</x:v>
      </x:c>
      <x:c r="L27" s="11">
        <x:v>0</x:v>
      </x:c>
      <x:c r="M27" s="11">
        <x:v>0</x:v>
      </x:c>
      <x:c r="N27" s="11">
        <x:v>0</x:v>
      </x:c>
      <x:c r="O27" s="11" t="n">
        <x:f>SUM(H27:N27)</x:f>
        <x:v>44</x:v>
      </x:c>
      <x:c r="P27" s="9" t="str">
        <x:v>Corte 26/10/2026: Backend canónico de creación, versiones, captura JSON validada, compromisos, concurrencia e idempotencia implementado. UI real conecta creación CA/No-KAA, clasificación, preparador y piloto de lectura/guardado con campos acotados. Faltan cuestionarios CA/No-KAA completos y publicados, presupuesto/condiciones/cálculos, activación, despliegue y aceptación Microsoft/BFF. Los documentos candidatos y la demo en memoria no cuentan como captura completa. Horas estimadas del corte: Aarón Mayorga 16 h; Luis Martínez 28 h.
Antecedentes hasta 04/09/2026: 30 Actualización 04/09: Sin avance verificable. PACC conserva un scaffold legacy sin ruta o frontend, definición publicada, ramificación, transacciones ni pruebas funcionales. Sin horas atribuidas en este corte.</x:v>
      </x:c>
    </x:row>
    <x:row r="28" ht="180" customHeight="1">
      <x:c r="A28" s="10">
        <x:v>27</x:v>
      </x:c>
      <x:c r="B28" s="10" t="s">
        <x:v>47</x:v>
      </x:c>
      <x:c r="C28" s="9" t="str">
        <x:v>Módulo Revisión ASEG (Aseguramiento)</x:v>
      </x:c>
      <x:c r="D28" s="10">
        <x:v>76</x:v>
      </x:c>
      <x:c r="E28" s="10" t="n">
        <x:v>40</x:v>
      </x:c>
      <x:c r="F28" s="10" t="str">
        <x:v>En curso</x:v>
      </x:c>
      <x:c r="G28" s="9" t="str">
        <x:v>Aarón Mayorga, Luis Montero, Luis Martínez</x:v>
      </x:c>
      <x:c r="H28" s="11">
        <x:v>0</x:v>
      </x:c>
      <x:c r="I28" s="11" t="n">
        <x:v>8</x:v>
      </x:c>
      <x:c r="J28" s="11" t="n">
        <x:v>28</x:v>
      </x:c>
      <x:c r="K28" s="11" t="n">
        <x:v>0</x:v>
      </x:c>
      <x:c r="L28" s="11">
        <x:v>0</x:v>
      </x:c>
      <x:c r="M28" s="11">
        <x:v>0</x:v>
      </x:c>
      <x:c r="N28" s="11">
        <x:v>0</x:v>
      </x:c>
      <x:c r="O28" s="11" t="n">
        <x:f>SUM(H28:N28)</x:f>
        <x:v>36</x:v>
      </x:c>
      <x:c r="P28" s="9" t="str">
        <x:v>Corte 26/10/2026: Backend canónico implementa selección/elegibilidad de aprobadores, envío, check exclusivo de Riesgo, observaciones, decisiones por turno, extensiones, renovaciones y resultados, con contratos/pruebas. Los paneles de revisión frontend son simulación; falta conectarlos al backend, cuestionarios funcionales, capacidades/acreditaciones reales, notificaciones, despliegue y UAT. El motor técnico no equivale a revisión funcional entregada. Horas estimadas del corte: Aarón Mayorga 8 h; Luis Martínez 28 h.
Antecedentes hasta 04/09/2026: 30 Actualización 04/09: Sin avance verificable. La revisión PACC aún no tiene workflow, permisos canónicos, snapshots ni decisiones transaccionales probadas. Sin horas atribuidas en este corte.</x:v>
      </x:c>
    </x:row>
    <x:row r="29" ht="210" customHeight="1">
      <x:c r="A29" s="10">
        <x:v>28</x:v>
      </x:c>
      <x:c r="B29" s="10" t="s">
        <x:v>47</x:v>
      </x:c>
      <x:c r="C29" s="9" t="str">
        <x:v>Doc. especificaciones de dev.</x:v>
      </x:c>
      <x:c r="D29" s="10">
        <x:v>51</x:v>
      </x:c>
      <x:c r="E29" s="10" t="n">
        <x:v>95</x:v>
      </x:c>
      <x:c r="F29" s="10" t="str">
        <x:v>En curso</x:v>
      </x:c>
      <x:c r="G29" s="9" t="str">
        <x:v>Aarón Mayorga, Luis Martínez, Daniel Pulido</x:v>
      </x:c>
      <x:c r="H29" s="11">
        <x:v>0</x:v>
      </x:c>
      <x:c r="I29" s="11" t="n">
        <x:v>12</x:v>
      </x:c>
      <x:c r="J29" s="11" t="n">
        <x:v>15.9</x:v>
      </x:c>
      <x:c r="K29" s="11" t="n">
        <x:v>1</x:v>
      </x:c>
      <x:c r="L29" s="11">
        <x:v>0</x:v>
      </x:c>
      <x:c r="M29" s="11">
        <x:v>0</x:v>
      </x:c>
      <x:c r="N29" s="11">
        <x:v>0</x:v>
      </x:c>
      <x:c r="O29" s="11" t="n">
        <x:f>SUM(H29:N29)</x:f>
        <x:v>28.9</x:v>
      </x:c>
      <x:c r="P29" s="9" t="str">
        <x:v>Corte 26/10/2026: Se conserva 95% y no se asignan horas nuevas de documentación. Las decisiones, candidatos de cuestionarios y archivos generados orientan el contraste, pero no aumentan el avance de implementación de este corte.
Antecedentes hasta 04/09/2026: Contexto canónico, handoffs, decisiones, autenticación, despliegue y runbooks actualizados al 10/08. Equipo del avance: Aarón Mayorga 5.9 h y Luis Martínez 5.9 h. Corte 14/07–04/08 (GitHub): Aarón 2.0 h; Luis Martínez 5.0 h. Actualización 27/08: Contratos, ADR, handoffs, runbooks de rollout, contexto y documentación de GTRS actualizados al 27/08. Horas estimadas del corte: Aarón 2.1 h; Luis Martínez 3.0 h. Actualización 04/09: Planes, decisiones, contexto, runbooks e infraestructura documentados. Faltan documentación operativa PACC y notificaciones, y el cierre final. Horas estimadas del corte: Aarón 2.0 h; Luis Martínez 2.0 h; Daniel 1.0 h.</x:v>
      </x:c>
    </x:row>
    <x:row r="30" ht="210" customHeight="1">
      <x:c r="A30" s="10">
        <x:v>29</x:v>
      </x:c>
      <x:c r="B30" s="10" t="s">
        <x:v>48</x:v>
      </x:c>
      <x:c r="C30" s="9" t="str">
        <x:v>Plan de pruebas</x:v>
      </x:c>
      <x:c r="D30" s="10">
        <x:v>17</x:v>
      </x:c>
      <x:c r="E30" s="10" t="n">
        <x:v>95</x:v>
      </x:c>
      <x:c r="F30" s="10" t="str">
        <x:v>En curso</x:v>
      </x:c>
      <x:c r="G30" s="9" t="str">
        <x:v>Aarón Mayorga, Luis Martínez</x:v>
      </x:c>
      <x:c r="H30" s="11">
        <x:v>0</x:v>
      </x:c>
      <x:c r="I30" s="11" t="n">
        <x:v>7.9</x:v>
      </x:c>
      <x:c r="J30" s="11" t="n">
        <x:v>14.5</x:v>
      </x:c>
      <x:c r="K30" s="11" t="n">
        <x:v>0</x:v>
      </x:c>
      <x:c r="L30" s="11">
        <x:v>0</x:v>
      </x:c>
      <x:c r="M30" s="11">
        <x:v>0</x:v>
      </x:c>
      <x:c r="N30" s="11">
        <x:v>0</x:v>
      </x:c>
      <x:c r="O30" s="11" t="n">
        <x:f>SUM(H30:N30)</x:f>
        <x:v>22.4</x:v>
      </x:c>
      <x:c r="P30" s="9" t="str">
        <x:v>Corte 26/10/2026: Se conserva 95%. Las suites automatizadas y los escenarios locales amplían la evidencia técnica; las 118 pruebas ASEG focalizadas pasaron hoy. No sustituyen aprobación funcional ni los ciclos UAT del cronograma.
Antecedentes hasta 04/09/2026: Cobertura automatizada amplia en frontend, API, Application, SQL y concurrencia; UAT aún no iniciado. Equipo del avance: Aarón Mayorga 4.5 h y Luis Martínez 4.5 h. Corte 14/07–04/08 (GitHub): Aarón 1.0 h; Luis Martínez 6.0 h. Actualización 27/08: Cobertura ampliada: 536 pruebas frontend, 593 .NET, entre 1,484 y 1,562 PgTAP según el corte y 16 E2E; UAT formal no iniciado. Horas estimadas del corte: Aarón 1.4 h; Luis Martínez 2.0 h. Actualización 04/09: Cobertura automatizada ampliada. UAT formal no ha iniciado y persiste deuda histórica en parte de la suite pgTAP. Horas estimadas del corte: Aarón 1.0 h; Luis Martínez 2.0 h.</x:v>
      </x:c>
    </x:row>
    <x:row r="31" ht="75" customHeight="1">
      <x:c r="A31" s="10">
        <x:v>30</x:v>
      </x:c>
      <x:c r="B31" s="10" t="s">
        <x:v>48</x:v>
      </x:c>
      <x:c r="C31" s="9" t="str">
        <x:v>Pruebas UAT Ciclo 1</x:v>
      </x:c>
      <x:c r="D31" s="10">
        <x:v>16</x:v>
      </x:c>
      <x:c r="E31" s="10" t="n">
        <x:v>0</x:v>
      </x:c>
      <x:c r="F31" s="10" t="str">
        <x:v>Pendiente</x:v>
      </x:c>
      <x:c r="G31" s="9" t="str">
        <x:v>Karol, Daniel Pulido, Luis Montero, Jorge Jiménez</x:v>
      </x:c>
      <x:c r="H31" s="11">
        <x:v>0</x:v>
      </x:c>
      <x:c r="I31" s="11" t="n">
        <x:v>0</x:v>
      </x:c>
      <x:c r="J31" s="11" t="n">
        <x:v>0</x:v>
      </x:c>
      <x:c r="K31" s="11" t="n">
        <x:v>0</x:v>
      </x:c>
      <x:c r="L31" s="11">
        <x:v>0</x:v>
      </x:c>
      <x:c r="M31" s="11">
        <x:v>0</x:v>
      </x:c>
      <x:c r="N31" s="11">
        <x:v>0</x:v>
      </x:c>
      <x:c r="O31" s="11" t="n">
        <x:f>SUM(H31:N31)</x:f>
        <x:v>0</x:v>
      </x:c>
      <x:c r="P31" s="9" t="str">
        <x:v>Corte 26/10/2026: Sin evidencia versionada de aceptación humana formal del ciclo UAT 1. Pruebas sintéticas, unitarias y de navegador local no se imputan a este ciclo.
Antecedentes hasta 04/09/2026: 30</x:v>
      </x:c>
    </x:row>
    <x:row r="32" ht="75" customHeight="1">
      <x:c r="A32" s="10">
        <x:v>31</x:v>
      </x:c>
      <x:c r="B32" s="10" t="s">
        <x:v>48</x:v>
      </x:c>
      <x:c r="C32" s="9" t="str">
        <x:v>Corrección ciclo 1</x:v>
      </x:c>
      <x:c r="D32" s="10">
        <x:v>26</x:v>
      </x:c>
      <x:c r="E32" s="10" t="n">
        <x:v>0</x:v>
      </x:c>
      <x:c r="F32" s="10" t="str">
        <x:v>Pendiente</x:v>
      </x:c>
      <x:c r="G32" s="9" t="str">
        <x:v>Daniel Pulido, Aarón Mayorga, Luis Montero</x:v>
      </x:c>
      <x:c r="H32" s="11">
        <x:v>0</x:v>
      </x:c>
      <x:c r="I32" s="11" t="n">
        <x:v>0</x:v>
      </x:c>
      <x:c r="J32" s="11" t="n">
        <x:v>0</x:v>
      </x:c>
      <x:c r="K32" s="11" t="n">
        <x:v>0</x:v>
      </x:c>
      <x:c r="L32" s="11">
        <x:v>0</x:v>
      </x:c>
      <x:c r="M32" s="11">
        <x:v>0</x:v>
      </x:c>
      <x:c r="N32" s="11">
        <x:v>0</x:v>
      </x:c>
      <x:c r="O32" s="11" t="n">
        <x:f>SUM(H32:N32)</x:f>
        <x:v>0</x:v>
      </x:c>
      <x:c r="P32" s="9" t="str">
        <x:v>Corte 26/10/2026: Se mantiene pendiente: las correcciones ordinarias de desarrollo no se presentan como cierre de hallazgos de un ciclo UAT formal no acreditado.
Antecedentes hasta 04/09/2026: 30</x:v>
      </x:c>
    </x:row>
    <x:row r="33" ht="60" customHeight="1">
      <x:c r="A33" s="10">
        <x:v>32</x:v>
      </x:c>
      <x:c r="B33" s="10" t="s">
        <x:v>48</x:v>
      </x:c>
      <x:c r="C33" s="9" t="str">
        <x:v>Pruebas UAT Ciclo 2</x:v>
      </x:c>
      <x:c r="D33" s="10">
        <x:v>8</x:v>
      </x:c>
      <x:c r="E33" s="10" t="n">
        <x:v>0</x:v>
      </x:c>
      <x:c r="F33" s="10" t="str">
        <x:v>Pendiente</x:v>
      </x:c>
      <x:c r="G33" s="9" t="str">
        <x:v>Karol, Daniel Pulido, Luis Montero, Jorge Jiménez</x:v>
      </x:c>
      <x:c r="H33" s="11">
        <x:v>0</x:v>
      </x:c>
      <x:c r="I33" s="11" t="n">
        <x:v>0</x:v>
      </x:c>
      <x:c r="J33" s="11" t="n">
        <x:v>0</x:v>
      </x:c>
      <x:c r="K33" s="11" t="n">
        <x:v>0</x:v>
      </x:c>
      <x:c r="L33" s="11">
        <x:v>0</x:v>
      </x:c>
      <x:c r="M33" s="11">
        <x:v>0</x:v>
      </x:c>
      <x:c r="N33" s="11">
        <x:v>0</x:v>
      </x:c>
      <x:c r="O33" s="11" t="n">
        <x:f>SUM(H33:N33)</x:f>
        <x:v>0</x:v>
      </x:c>
      <x:c r="P33" s="9" t="str">
        <x:v>Corte 26/10/2026: Sin evidencia de un segundo ciclo formal UAT. Permanece pendiente.
Antecedentes hasta 04/09/2026: 30</x:v>
      </x:c>
    </x:row>
    <x:row r="34" ht="195" customHeight="1">
      <x:c r="A34" s="10">
        <x:v>33</x:v>
      </x:c>
      <x:c r="B34" s="10" t="s">
        <x:v>49</x:v>
      </x:c>
      <x:c r="C34" s="9" t="str">
        <x:v>Impl. ambiente productivo</x:v>
      </x:c>
      <x:c r="D34" s="10">
        <x:v>25</x:v>
      </x:c>
      <x:c r="E34" s="10" t="n">
        <x:v>35</x:v>
      </x:c>
      <x:c r="F34" s="10" t="str">
        <x:v>En curso</x:v>
      </x:c>
      <x:c r="G34" s="9" t="str">
        <x:v>Aarón Mayorga, Luis Martínez, Daniel Pulido</x:v>
      </x:c>
      <x:c r="H34" s="11">
        <x:v>0</x:v>
      </x:c>
      <x:c r="I34" s="11" t="n">
        <x:v>3.1</x:v>
      </x:c>
      <x:c r="J34" s="11" t="n">
        <x:v>2.9</x:v>
      </x:c>
      <x:c r="K34" s="11" t="n">
        <x:v>4</x:v>
      </x:c>
      <x:c r="L34" s="11">
        <x:v>0</x:v>
      </x:c>
      <x:c r="M34" s="11">
        <x:v>0</x:v>
      </x:c>
      <x:c r="N34" s="11">
        <x:v>0</x:v>
      </x:c>
      <x:c r="O34" s="11" t="n">
        <x:f>SUM(H34:N34)</x:f>
        <x:v>10</x:v>
      </x:c>
      <x:c r="P34" s="9" t="str">
        <x:v>Corte 26/10/2026: Se conserva 35%: los avances de Microsoft, auditoría/notificaciones y despliegue coordinado web/API corresponden a QA/preparación técnica. Según evidencia versionada, las migraciones ASEG están aplicadas en desarrollo; esto no acredita backend/UI ASEG desplegados, flag activo ni producción integral. Aceptación y promoción productiva siguen pendientes.
Antecedentes hasta 04/09/2026: 🟠 Optimizado Actualización 27/08: Release A remoto del Home aplicado y verificado; despliegue integral, Release B y cinco migraciones de completitud permanecen pendientes. Horas estimadas del corte: Aarón 2.1 h; Luis Martínez 2.9 h. Actualización 04/09: Infraestructura Azure y App Service, workflows, OIDC y despliegues dirigidos de Supabase avanzaron. Sigue en preproducción, sin publicación integral ni aceptación. Horas estimadas del corte: Aarón 1.0 h; Daniel 4.0 h.</x:v>
      </x:c>
    </x:row>
    <x:row r="35" ht="30" customHeight="1">
      <x:c r="A35">
        <x:v>34</x:v>
      </x:c>
      <x:c r="B35" t="s">
        <x:v>49</x:v>
      </x:c>
      <x:c r="C35" s="3" t="s">
        <x:v>50</x:v>
      </x:c>
      <x:c r="D35" s="4">
        <x:v>0</x:v>
      </x:c>
      <x:c r="E35" s="4">
        <x:v>100</x:v>
      </x:c>
      <x:c r="F35" s="4" t="s">
        <x:v>18</x:v>
      </x:c>
      <x:c r="G35" s="3" t="s">
        <x:v>45</x:v>
      </x:c>
      <x:c r="H35" s="5">
        <x:v>0</x:v>
      </x:c>
      <x:c r="I35" s="5">
        <x:v>0</x:v>
      </x:c>
      <x:c r="J35" s="5">
        <x:v>0</x:v>
      </x:c>
      <x:c r="K35" s="5">
        <x:v>0</x:v>
      </x:c>
      <x:c r="L35" s="5">
        <x:v>0</x:v>
      </x:c>
      <x:c r="M35" s="5">
        <x:v>0</x:v>
      </x:c>
      <x:c r="N35" s="5">
        <x:v>0</x:v>
      </x:c>
      <x:c r="O35" s="5">
        <x:v>0</x:v>
      </x:c>
      <x:c r="P35" s="3" t="s">
        <x:v>36</x:v>
      </x:c>
    </x:row>
    <x:row r="36" ht="75" customHeight="1">
      <x:c r="A36" s="10">
        <x:v>35</x:v>
      </x:c>
      <x:c r="B36" s="10" t="s">
        <x:v>49</x:v>
      </x:c>
      <x:c r="C36" s="9" t="str">
        <x:v>Manual operativo</x:v>
      </x:c>
      <x:c r="D36" s="10">
        <x:v>20</x:v>
      </x:c>
      <x:c r="E36" s="10" t="n">
        <x:v>0</x:v>
      </x:c>
      <x:c r="F36" s="10" t="str">
        <x:v>Pendiente</x:v>
      </x:c>
      <x:c r="G36" s="9" t="str">
        <x:v>Daniel Pulido, Luis Montero, Kenneth</x:v>
      </x:c>
      <x:c r="H36" s="11">
        <x:v>0</x:v>
      </x:c>
      <x:c r="I36" s="11" t="n">
        <x:v>0</x:v>
      </x:c>
      <x:c r="J36" s="11" t="n">
        <x:v>0</x:v>
      </x:c>
      <x:c r="K36" s="11" t="n">
        <x:v>0</x:v>
      </x:c>
      <x:c r="L36" s="11">
        <x:v>0</x:v>
      </x:c>
      <x:c r="M36" s="11">
        <x:v>0</x:v>
      </x:c>
      <x:c r="N36" s="11">
        <x:v>0</x:v>
      </x:c>
      <x:c r="O36" s="11" t="n">
        <x:f>SUM(H36:N36)</x:f>
        <x:v>0</x:v>
      </x:c>
      <x:c r="P36" s="9" t="str">
        <x:v>Corte 26/10/2026: Sin entrega operativa final aceptada. Runbooks técnicos y documentos de diseño no se convierten en manual de operación terminado.
Antecedentes hasta 04/09/2026: 30</x:v>
      </x:c>
    </x:row>
    <x:row r="37" ht="60" customHeight="1">
      <x:c r="A37" s="10">
        <x:v>36</x:v>
      </x:c>
      <x:c r="B37" s="10" t="s">
        <x:v>49</x:v>
      </x:c>
      <x:c r="C37" s="9" t="str">
        <x:v>Doc. de estabilización</x:v>
      </x:c>
      <x:c r="D37" s="10">
        <x:v>18</x:v>
      </x:c>
      <x:c r="E37" s="10" t="n">
        <x:v>0</x:v>
      </x:c>
      <x:c r="F37" s="10" t="str">
        <x:v>Pendiente</x:v>
      </x:c>
      <x:c r="G37" s="9" t="str">
        <x:v>Luis Montero, Aarón Mayorga, Kenneth</x:v>
      </x:c>
      <x:c r="H37" s="11">
        <x:v>0</x:v>
      </x:c>
      <x:c r="I37" s="11" t="n">
        <x:v>0</x:v>
      </x:c>
      <x:c r="J37" s="11" t="n">
        <x:v>0</x:v>
      </x:c>
      <x:c r="K37" s="11" t="n">
        <x:v>0</x:v>
      </x:c>
      <x:c r="L37" s="11">
        <x:v>0</x:v>
      </x:c>
      <x:c r="M37" s="11">
        <x:v>0</x:v>
      </x:c>
      <x:c r="N37" s="11">
        <x:v>0</x:v>
      </x:c>
      <x:c r="O37" s="11" t="n">
        <x:f>SUM(H37:N37)</x:f>
        <x:v>0</x:v>
      </x:c>
      <x:c r="P37" s="9" t="str">
        <x:v>Corte 26/10/2026: Sin estabilización productiva aceptada. Documentar ensayos o despliegues QA no cierra esta tarea.
Antecedentes hasta 04/09/2026: 30</x:v>
      </x:c>
    </x:row>
    <x:row r="38" ht="75" customHeight="1">
      <x:c r="A38" s="10">
        <x:v>37</x:v>
      </x:c>
      <x:c r="B38" s="10" t="s">
        <x:v>51</x:v>
      </x:c>
      <x:c r="C38" s="9" t="str">
        <x:v>Análisis y Mapeo de Datos (CSV)</x:v>
      </x:c>
      <x:c r="D38" s="10">
        <x:v>14</x:v>
      </x:c>
      <x:c r="E38" s="10" t="n">
        <x:v>20</x:v>
      </x:c>
      <x:c r="F38" s="10" t="str">
        <x:v>En curso</x:v>
      </x:c>
      <x:c r="G38" s="9" t="str">
        <x:v>Luis Montero, Aarón Mayorga, Karol</x:v>
      </x:c>
      <x:c r="H38" s="11">
        <x:v>3</x:v>
      </x:c>
      <x:c r="I38" s="11" t="n">
        <x:v>0</x:v>
      </x:c>
      <x:c r="J38" s="11" t="n">
        <x:v>0</x:v>
      </x:c>
      <x:c r="K38" s="11" t="n">
        <x:v>0</x:v>
      </x:c>
      <x:c r="L38" s="11">
        <x:v>0</x:v>
      </x:c>
      <x:c r="M38" s="11">
        <x:v>0</x:v>
      </x:c>
      <x:c r="N38" s="11">
        <x:v>0</x:v>
      </x:c>
      <x:c r="O38" s="11" t="n">
        <x:f>SUM(H38:N38)</x:f>
        <x:v>3</x:v>
      </x:c>
      <x:c r="P38" s="9" t="str">
        <x:v>Corte 26/10/2026: No se encontró nueva implementación de migración CSV/SharePoint/ETL/PDF. Se mantiene el análisis histórico en 20%; las migraciones de esquema ASEG no son carga de datos de negocio.
Antecedentes hasta 04/09/2026: 30</x:v>
      </x:c>
    </x:row>
    <x:row r="39" ht="15.5">
      <x:c r="A39">
        <x:v>38</x:v>
      </x:c>
      <x:c r="B39" t="s">
        <x:v>51</x:v>
      </x:c>
      <x:c r="C39" s="3" t="s">
        <x:v>52</x:v>
      </x:c>
      <x:c r="D39" s="4">
        <x:v>8</x:v>
      </x:c>
      <x:c r="E39" s="4">
        <x:v>0</x:v>
      </x:c>
      <x:c r="F39" s="4" t="s">
        <x:v>53</x:v>
      </x:c>
      <x:c r="G39" s="3" t="s">
        <x:v>54</x:v>
      </x:c>
      <x:c r="H39" s="5">
        <x:v>0</x:v>
      </x:c>
      <x:c r="I39" s="5">
        <x:v>0</x:v>
      </x:c>
      <x:c r="J39" s="5">
        <x:v>0</x:v>
      </x:c>
      <x:c r="K39" s="5">
        <x:v>0</x:v>
      </x:c>
      <x:c r="L39" s="5">
        <x:v>0</x:v>
      </x:c>
      <x:c r="M39" s="5">
        <x:v>0</x:v>
      </x:c>
      <x:c r="N39" s="5">
        <x:v>0</x:v>
      </x:c>
      <x:c r="O39" s="5">
        <x:v>0</x:v>
      </x:c>
      <x:c r="P39" s="3" t="s">
        <x:v>30</x:v>
      </x:c>
    </x:row>
    <x:row r="40" ht="15.5">
      <x:c r="A40">
        <x:v>39</x:v>
      </x:c>
      <x:c r="B40" t="s">
        <x:v>51</x:v>
      </x:c>
      <x:c r="C40" s="3" t="s">
        <x:v>55</x:v>
      </x:c>
      <x:c r="D40" s="4">
        <x:v>32</x:v>
      </x:c>
      <x:c r="E40" s="4">
        <x:v>0</x:v>
      </x:c>
      <x:c r="F40" s="4" t="s">
        <x:v>53</x:v>
      </x:c>
      <x:c r="G40" s="3" t="s">
        <x:v>56</x:v>
      </x:c>
      <x:c r="H40" s="5">
        <x:v>0</x:v>
      </x:c>
      <x:c r="I40" s="5">
        <x:v>0</x:v>
      </x:c>
      <x:c r="J40" s="5">
        <x:v>0</x:v>
      </x:c>
      <x:c r="K40" s="5">
        <x:v>0</x:v>
      </x:c>
      <x:c r="L40" s="5">
        <x:v>0</x:v>
      </x:c>
      <x:c r="M40" s="5">
        <x:v>0</x:v>
      </x:c>
      <x:c r="N40" s="5">
        <x:v>0</x:v>
      </x:c>
      <x:c r="O40" s="5">
        <x:v>0</x:v>
      </x:c>
      <x:c r="P40" s="3" t="s">
        <x:v>30</x:v>
      </x:c>
    </x:row>
    <x:row r="41" ht="15.5">
      <x:c r="A41">
        <x:v>40</x:v>
      </x:c>
      <x:c r="B41" t="s">
        <x:v>51</x:v>
      </x:c>
      <x:c r="C41" s="3" t="s">
        <x:v>57</x:v>
      </x:c>
      <x:c r="D41" s="4">
        <x:v>12</x:v>
      </x:c>
      <x:c r="E41" s="4">
        <x:v>0</x:v>
      </x:c>
      <x:c r="F41" s="4" t="s">
        <x:v>53</x:v>
      </x:c>
      <x:c r="G41" s="3" t="s">
        <x:v>58</x:v>
      </x:c>
      <x:c r="H41" s="5">
        <x:v>0</x:v>
      </x:c>
      <x:c r="I41" s="5">
        <x:v>0</x:v>
      </x:c>
      <x:c r="J41" s="5">
        <x:v>0</x:v>
      </x:c>
      <x:c r="K41" s="5">
        <x:v>0</x:v>
      </x:c>
      <x:c r="L41" s="5">
        <x:v>0</x:v>
      </x:c>
      <x:c r="M41" s="5">
        <x:v>0</x:v>
      </x:c>
      <x:c r="N41" s="5">
        <x:v>0</x:v>
      </x:c>
      <x:c r="O41" s="5">
        <x:v>0</x:v>
      </x:c>
      <x:c r="P41" s="3" t="s">
        <x:v>30</x:v>
      </x:c>
    </x:row>
    <x:row r="42" ht="75" customHeight="1">
      <x:c r="A42" s="10">
        <x:v>41</x:v>
      </x:c>
      <x:c r="B42" s="10" t="s">
        <x:v>51</x:v>
      </x:c>
      <x:c r="C42" s="9" t="str">
        <x:v>Carga a Supabase</x:v>
      </x:c>
      <x:c r="D42" s="10">
        <x:v>14</x:v>
      </x:c>
      <x:c r="E42" s="10" t="n">
        <x:v>0</x:v>
      </x:c>
      <x:c r="F42" s="10" t="str">
        <x:v>Pendiente</x:v>
      </x:c>
      <x:c r="G42" s="9" t="str">
        <x:v>Luis Montero, Aarón Mayorga</x:v>
      </x:c>
      <x:c r="H42" s="11">
        <x:v>0</x:v>
      </x:c>
      <x:c r="I42" s="11" t="n">
        <x:v>0</x:v>
      </x:c>
      <x:c r="J42" s="11" t="n">
        <x:v>0</x:v>
      </x:c>
      <x:c r="K42" s="11" t="n">
        <x:v>0</x:v>
      </x:c>
      <x:c r="L42" s="11">
        <x:v>0</x:v>
      </x:c>
      <x:c r="M42" s="11">
        <x:v>0</x:v>
      </x:c>
      <x:c r="N42" s="11">
        <x:v>0</x:v>
      </x:c>
      <x:c r="O42" s="11" t="n">
        <x:f>SUM(H42:N42)</x:f>
        <x:v>0</x:v>
      </x:c>
      <x:c r="P42" s="9" t="str">
        <x:v>Corte 26/10/2026: Pendiente carga/migración de datos históricos del proyecto. Aplicar migraciones SQL de esquema en desarrollo no acredita esta carga.
Antecedentes hasta 04/09/2026: 30</x:v>
      </x:c>
    </x:row>
    <x:row r="43" ht="15.5">
      <x:c r="A43">
        <x:v>42</x:v>
      </x:c>
      <x:c r="B43" t="s">
        <x:v>51</x:v>
      </x:c>
      <x:c r="C43" s="3" t="s">
        <x:v>59</x:v>
      </x:c>
      <x:c r="D43" s="4">
        <x:v>20</x:v>
      </x:c>
      <x:c r="E43" s="4">
        <x:v>0</x:v>
      </x:c>
      <x:c r="F43" s="4" t="s">
        <x:v>53</x:v>
      </x:c>
      <x:c r="G43" s="3" t="s">
        <x:v>56</x:v>
      </x:c>
      <x:c r="H43" s="5">
        <x:v>0</x:v>
      </x:c>
      <x:c r="I43" s="5">
        <x:v>0</x:v>
      </x:c>
      <x:c r="J43" s="5">
        <x:v>0</x:v>
      </x:c>
      <x:c r="K43" s="5">
        <x:v>0</x:v>
      </x:c>
      <x:c r="L43" s="5">
        <x:v>0</x:v>
      </x:c>
      <x:c r="M43" s="5">
        <x:v>0</x:v>
      </x:c>
      <x:c r="N43" s="5">
        <x:v>0</x:v>
      </x:c>
      <x:c r="O43" s="5">
        <x:v>0</x:v>
      </x:c>
      <x:c r="P43" s="3" t="s">
        <x:v>30</x:v>
      </x:c>
    </x:row>
    <x:row r="44" ht="15.5">
      <x:c r="A44">
        <x:v>43</x:v>
      </x:c>
      <x:c r="B44" t="s">
        <x:v>51</x:v>
      </x:c>
      <x:c r="C44" s="3" t="s">
        <x:v>60</x:v>
      </x:c>
      <x:c r="D44" s="4">
        <x:v>16</x:v>
      </x:c>
      <x:c r="E44" s="4">
        <x:v>0</x:v>
      </x:c>
      <x:c r="F44" s="4" t="s">
        <x:v>53</x:v>
      </x:c>
      <x:c r="G44" s="3" t="s">
        <x:v>61</x:v>
      </x:c>
      <x:c r="H44" s="5">
        <x:v>0</x:v>
      </x:c>
      <x:c r="I44" s="5">
        <x:v>0</x:v>
      </x:c>
      <x:c r="J44" s="5">
        <x:v>0</x:v>
      </x:c>
      <x:c r="K44" s="5">
        <x:v>0</x:v>
      </x:c>
      <x:c r="L44" s="5">
        <x:v>0</x:v>
      </x:c>
      <x:c r="M44" s="5">
        <x:v>0</x:v>
      </x:c>
      <x:c r="N44" s="5">
        <x:v>0</x:v>
      </x:c>
      <x:c r="O44" s="5">
        <x:v>0</x:v>
      </x:c>
      <x:c r="P44" s="3" t="s">
        <x:v>30</x:v>
      </x:c>
    </x:row>
    <x:row r="45" ht="15.5">
      <x:c r="A45">
        <x:v>44</x:v>
      </x:c>
      <x:c r="B45" t="s">
        <x:v>51</x:v>
      </x:c>
      <x:c r="C45" s="3" t="s">
        <x:v>62</x:v>
      </x:c>
      <x:c r="D45" s="4">
        <x:v>6</x:v>
      </x:c>
      <x:c r="E45" s="4">
        <x:v>0</x:v>
      </x:c>
      <x:c r="F45" s="4" t="s">
        <x:v>53</x:v>
      </x:c>
      <x:c r="G45" s="3" t="s">
        <x:v>63</x:v>
      </x:c>
      <x:c r="H45" s="5">
        <x:v>0</x:v>
      </x:c>
      <x:c r="I45" s="5">
        <x:v>0</x:v>
      </x:c>
      <x:c r="J45" s="5">
        <x:v>0</x:v>
      </x:c>
      <x:c r="K45" s="5">
        <x:v>0</x:v>
      </x:c>
      <x:c r="L45" s="5">
        <x:v>0</x:v>
      </x:c>
      <x:c r="M45" s="5">
        <x:v>0</x:v>
      </x:c>
      <x:c r="N45" s="5">
        <x:v>0</x:v>
      </x:c>
      <x:c r="O45" s="5">
        <x:v>0</x:v>
      </x:c>
      <x:c r="P45" s="3" t="s">
        <x:v>30</x:v>
      </x:c>
    </x:row>
  </x:sheetData>
  <x:pageMargins left="0.7" right="0.7" top="0.75" bottom="0.75" header="0.3" footer="0.3"/>
</x:worksheet>
</file>

<file path=xl/worksheets/sheet2.xml><?xml version="1.0" encoding="utf-8"?>
<x:worksheet xmlns:x="http://schemas.openxmlformats.org/spreadsheetml/2006/main">
  <x:sheetFormatPr baseColWidth="10" defaultRowHeight="14.5"/>
  <x:cols>
    <x:col min="1" max="1" width="24.83203125" customWidth="1"/>
    <x:col min="2" max="2" width="8.83203125" customWidth="1"/>
    <x:col min="3" max="3" width="12.83203125" customWidth="1"/>
    <x:col min="4" max="4" width="11.83203125" customWidth="1"/>
    <x:col min="5" max="5" width="13.83203125" customWidth="1"/>
    <x:col min="6" max="6" width="10.83203125" customWidth="1"/>
  </x:cols>
  <x:sheetData>
    <x:row r="1" ht="15.5">
      <x:c r="A1" t="s">
        <x:v>1</x:v>
      </x:c>
      <x:c r="B1" t="s">
        <x:v>64</x:v>
      </x:c>
      <x:c r="C1" t="s">
        <x:v>65</x:v>
      </x:c>
      <x:c r="D1" t="s">
        <x:v>3</x:v>
      </x:c>
      <x:c r="E1" t="s">
        <x:v>66</x:v>
      </x:c>
      <x:c r="F1" t="s">
        <x:v>4</x:v>
      </x:c>
    </x:row>
    <x:row r="2" ht="15.5">
      <x:c r="A2" t="str">
        <x:v>Levantamiento</x:v>
      </x:c>
      <x:c r="B2" t="n">
        <x:v>3</x:v>
      </x:c>
      <x:c r="C2" t="n">
        <x:v>3</x:v>
      </x:c>
      <x:c r="D2" s="1" t="n">
        <x:v>36</x:v>
      </x:c>
      <x:c r="E2" s="1" t="n">
        <x:v>79</x:v>
      </x:c>
      <x:c r="F2" s="1" t="n">
        <x:v>100</x:v>
      </x:c>
    </x:row>
    <x:row r="3" ht="15.5">
      <x:c r="A3" t="str">
        <x:v>Diseño</x:v>
      </x:c>
      <x:c r="B3" t="n">
        <x:v>13</x:v>
      </x:c>
      <x:c r="C3" t="n">
        <x:v>5</x:v>
      </x:c>
      <x:c r="D3" s="1" t="n">
        <x:v>109</x:v>
      </x:c>
      <x:c r="E3" s="1" t="n">
        <x:v>174.7</x:v>
      </x:c>
      <x:c r="F3" s="1" t="n">
        <x:v>95.8</x:v>
      </x:c>
    </x:row>
    <x:row r="4" ht="15.5">
      <x:c r="A4" t="str">
        <x:v>Desarrollo</x:v>
      </x:c>
      <x:c r="B4" t="n">
        <x:v>12</x:v>
      </x:c>
      <x:c r="C4" t="n">
        <x:v>2</x:v>
      </x:c>
      <x:c r="D4" s="1" t="n">
        <x:v>781</x:v>
      </x:c>
      <x:c r="E4" s="1" t="n">
        <x:v>805.9</x:v>
      </x:c>
      <x:c r="F4" s="1" t="n">
        <x:v>85.7</x:v>
      </x:c>
    </x:row>
    <x:row r="5" ht="15.5">
      <x:c r="A5" t="str">
        <x:v>Pruebas</x:v>
      </x:c>
      <x:c r="B5" t="n">
        <x:v>4</x:v>
      </x:c>
      <x:c r="C5" t="n">
        <x:v>0</x:v>
      </x:c>
      <x:c r="D5" s="1" t="n">
        <x:v>67</x:v>
      </x:c>
      <x:c r="E5" s="1" t="n">
        <x:v>22.4</x:v>
      </x:c>
      <x:c r="F5" s="1" t="n">
        <x:v>24.1</x:v>
      </x:c>
    </x:row>
    <x:row r="6" ht="15.5">
      <x:c r="A6" t="str">
        <x:v>Impl. y Transferencia</x:v>
      </x:c>
      <x:c r="B6" t="n">
        <x:v>4</x:v>
      </x:c>
      <x:c r="C6" t="n">
        <x:v>1</x:v>
      </x:c>
      <x:c r="D6" s="1" t="n">
        <x:v>63</x:v>
      </x:c>
      <x:c r="E6" s="1" t="n">
        <x:v>10</x:v>
      </x:c>
      <x:c r="F6" s="1" t="n">
        <x:v>13.9</x:v>
      </x:c>
    </x:row>
    <x:row r="7" ht="15.5">
      <x:c r="A7" t="str">
        <x:v>Migración de Datos</x:v>
      </x:c>
      <x:c r="B7" t="n">
        <x:v>8</x:v>
      </x:c>
      <x:c r="C7" t="n">
        <x:v>0</x:v>
      </x:c>
      <x:c r="D7" s="1" t="n">
        <x:v>122</x:v>
      </x:c>
      <x:c r="E7" s="1" t="n">
        <x:v>3</x:v>
      </x:c>
      <x:c r="F7" s="1" t="n">
        <x:v>2.3</x:v>
      </x:c>
    </x:row>
  </x:sheetData>
  <x:pageMargins left="0.7" right="0.7" top="0.75" bottom="0.75" header="0.3" footer="0.3"/>
</x:worksheet>
</file>

<file path=xl/worksheets/sheet3.xml><?xml version="1.0" encoding="utf-8"?>
<x:worksheet xmlns:x="http://schemas.openxmlformats.org/spreadsheetml/2006/main">
  <x:sheetFormatPr baseColWidth="10" defaultRowHeight="14.5"/>
  <x:cols>
    <x:col min="1" max="1" width="20.83203125" customWidth="1"/>
    <x:col min="2" max="2" width="6.83203125" customWidth="1"/>
    <x:col min="3" max="3" width="12.83203125" customWidth="1"/>
    <x:col min="4" max="4" width="16.83203125" customWidth="1"/>
    <x:col min="5" max="5" width="13.83203125" customWidth="1"/>
  </x:cols>
  <x:sheetData>
    <x:row r="1" ht="15.5">
      <x:c r="A1" t="s">
        <x:v>67</x:v>
      </x:c>
      <x:c r="B1" t="s">
        <x:v>68</x:v>
      </x:c>
      <x:c r="C1" t="s">
        <x:v>69</x:v>
      </x:c>
      <x:c r="D1" t="s">
        <x:v>70</x:v>
      </x:c>
      <x:c r="E1" t="s">
        <x:v>66</x:v>
      </x:c>
    </x:row>
    <x:row r="2" ht="15.5">
      <x:c r="A2" t="s">
        <x:v>71</x:v>
      </x:c>
      <x:c r="B2" t="s">
        <x:v>72</x:v>
      </x:c>
      <x:c r="C2" t="s">
        <x:v>73</x:v>
      </x:c>
      <x:c r="D2" t="n">
        <x:v>17</x:v>
      </x:c>
      <x:c r="E2" s="1" t="n">
        <x:v>7</x:v>
      </x:c>
    </x:row>
    <x:row r="3" ht="15.5">
      <x:c r="A3" t="s">
        <x:v>29</x:v>
      </x:c>
      <x:c r="B3" t="s">
        <x:v>72</x:v>
      </x:c>
      <x:c r="C3" t="s">
        <x:v>74</x:v>
      </x:c>
      <x:c r="D3" t="n">
        <x:v>33</x:v>
      </x:c>
      <x:c r="E3" s="1" t="n">
        <x:v>535</x:v>
      </x:c>
    </x:row>
    <x:row r="4" ht="15.5">
      <x:c r="A4" t="s">
        <x:v>75</x:v>
      </x:c>
      <x:c r="B4" t="s">
        <x:v>72</x:v>
      </x:c>
      <x:c r="C4" t="s">
        <x:v>76</x:v>
      </x:c>
      <x:c r="D4" t="n">
        <x:v>23</x:v>
      </x:c>
      <x:c r="E4" s="1" t="n">
        <x:v>470</x:v>
      </x:c>
    </x:row>
    <x:row r="5" ht="15.5">
      <x:c r="A5" t="s">
        <x:v>35</x:v>
      </x:c>
      <x:c r="B5" t="s">
        <x:v>77</x:v>
      </x:c>
      <x:c r="C5" t="s">
        <x:v>78</x:v>
      </x:c>
      <x:c r="D5" t="n">
        <x:v>12</x:v>
      </x:c>
      <x:c r="E5" s="1" t="n">
        <x:v>70</x:v>
      </x:c>
    </x:row>
    <x:row r="6" ht="15.5">
      <x:c r="A6" t="s">
        <x:v>79</x:v>
      </x:c>
      <x:c r="B6" t="s">
        <x:v>80</x:v>
      </x:c>
      <x:c r="C6" t="s">
        <x:v>78</x:v>
      </x:c>
      <x:c r="D6" t="n">
        <x:v>8</x:v>
      </x:c>
      <x:c r="E6" s="1" t="n">
        <x:v>9</x:v>
      </x:c>
    </x:row>
    <x:row r="7" ht="15.5">
      <x:c r="A7" t="s">
        <x:v>81</x:v>
      </x:c>
      <x:c r="B7" t="s">
        <x:v>82</x:v>
      </x:c>
      <x:c r="C7" t="s">
        <x:v>83</x:v>
      </x:c>
      <x:c r="D7" t="n">
        <x:v>3</x:v>
      </x:c>
      <x:c r="E7" s="1" t="n">
        <x:v>4</x:v>
      </x:c>
    </x:row>
    <x:row r="8" ht="15.5">
      <x:c r="A8" t="s">
        <x:v>84</x:v>
      </x:c>
      <x:c r="B8" t="s">
        <x:v>85</x:v>
      </x:c>
      <x:c r="C8" t="s">
        <x:v>86</x:v>
      </x:c>
      <x:c r="D8" t="n">
        <x:v>3</x:v>
      </x:c>
      <x:c r="E8" s="1" t="n">
        <x:v>0</x:v>
      </x:c>
    </x:row>
  </x:sheetData>
  <x:pageMargins left="0.7" right="0.7" top="0.75" bottom="0.75" header="0.3" footer="0.3"/>
</x:worksheet>
</file>

<file path=xl/worksheets/sheet4.xml><?xml version="1.0" encoding="utf-8"?>
<x:worksheet xmlns:x="http://schemas.openxmlformats.org/spreadsheetml/2006/main">
  <x:sheetFormatPr baseColWidth="10" defaultRowHeight="14.5"/>
  <x:cols>
    <x:col min="1" max="2" width="15" customWidth="1"/>
    <x:col min="3" max="8" width="16" customWidth="1"/>
    <x:col min="9" max="9" width="28" customWidth="1"/>
    <x:col min="10" max="10" width="14" customWidth="1"/>
    <x:col min="11" max="11" width="72" customWidth="1"/>
  </x:cols>
  <x:sheetData>
    <x:row r="1" ht="32" customHeight="1">
      <x:c r="A1" t="s">
        <x:v>87</x:v>
      </x:c>
      <x:c r="B1" t="s">
        <x:v>88</x:v>
      </x:c>
      <x:c r="C1" t="s">
        <x:v>16</x:v>
      </x:c>
      <x:c r="D1" t="s">
        <x:v>27</x:v>
      </x:c>
      <x:c r="E1" t="s">
        <x:v>47</x:v>
      </x:c>
      <x:c r="F1" t="s">
        <x:v>48</x:v>
      </x:c>
      <x:c r="G1" t="s">
        <x:v>89</x:v>
      </x:c>
      <x:c r="H1" t="s">
        <x:v>90</x:v>
      </x:c>
      <x:c r="I1" t="s">
        <x:v>91</x:v>
      </x:c>
      <x:c r="J1" t="s">
        <x:v>92</x:v>
      </x:c>
      <x:c r="K1" t="s">
        <x:v>93</x:v>
      </x:c>
    </x:row>
    <x:row r="2" ht="77.5">
      <x:c r="A2" s="6">
        <x:v>46238</x:v>
      </x:c>
      <x:c r="B2" s="7">
        <x:v>0.312</x:v>
      </x:c>
      <x:c r="C2" s="7">
        <x:v>1</x:v>
      </x:c>
      <x:c r="D2" s="7">
        <x:v>0.78900000000000003</x:v>
      </x:c>
      <x:c r="E2" s="7">
        <x:v>0.30399999999999999</x:v>
      </x:c>
      <x:c r="F2" s="7">
        <x:v>8.8999999999999996E-2</x:v>
      </x:c>
      <x:c r="G2" s="7">
        <x:v>0</x:v>
      </x:c>
      <x:c r="H2" s="7">
        <x:v>2.3E-2</x:v>
      </x:c>
      <x:c r="I2" s="4" t="s">
        <x:v>94</x:v>
      </x:c>
      <x:c r="J2" s="4" t="s">
        <x:v>95</x:v>
      </x:c>
      <x:c r="K2" s="3" t="s">
        <x:v>96</x:v>
      </x:c>
    </x:row>
    <x:row r="3" ht="155">
      <x:c r="A3" s="6">
        <x:v>46247.75</x:v>
      </x:c>
      <x:c r="B3" s="7">
        <x:v>0.45399999999999996</x:v>
      </x:c>
      <x:c r="C3" s="7">
        <x:v>1</x:v>
      </x:c>
      <x:c r="D3" s="7">
        <x:v>0.92799999999999994</x:v>
      </x:c>
      <x:c r="E3" s="7">
        <x:v>0.49099999999999999</x:v>
      </x:c>
      <x:c r="F3" s="7">
        <x:v>0.17800000000000002</x:v>
      </x:c>
      <x:c r="G3" s="7">
        <x:v>0</x:v>
      </x:c>
      <x:c r="H3" s="7">
        <x:v>2.3E-2</x:v>
      </x:c>
      <x:c r="I3" s="4" t="s">
        <x:v>94</x:v>
      </x:c>
      <x:c r="J3" s="4" t="s">
        <x:v>97</x:v>
      </x:c>
      <x:c r="K3" s="3" t="s">
        <x:v>98</x:v>
      </x:c>
    </x:row>
    <x:row r="4" ht="139.5">
      <x:c r="A4" s="6">
        <x:v>46261</x:v>
      </x:c>
      <x:c r="B4" s="7">
        <x:v>0.60299999999999998</x:v>
      </x:c>
      <x:c r="C4" s="7">
        <x:v>1</x:v>
      </x:c>
      <x:c r="D4" s="7">
        <x:v>0.95499999999999996</x:v>
      </x:c>
      <x:c r="E4" s="7">
        <x:v>0.70099999999999996</x:v>
      </x:c>
      <x:c r="F4" s="7">
        <x:v>0.22800000000000001</x:v>
      </x:c>
      <x:c r="G4" s="7">
        <x:v>7.9000000000000001E-2</x:v>
      </x:c>
      <x:c r="H4" s="7">
        <x:v>2.3E-2</x:v>
      </x:c>
      <x:c r="I4" s="4" t="s">
        <x:v>94</x:v>
      </x:c>
      <x:c r="J4" s="4" t="s">
        <x:v>99</x:v>
      </x:c>
      <x:c r="K4" s="3" t="s">
        <x:v>100</x:v>
      </x:c>
    </x:row>
    <x:row r="5" ht="180" customHeight="1">
      <x:c r="A5" s="15" t="n">
        <x:v>46269.5</x:v>
      </x:c>
      <x:c r="B5" s="16" t="n">
        <x:v>0.6579999999999999</x:v>
      </x:c>
      <x:c r="C5" s="16" t="n">
        <x:v>1</x:v>
      </x:c>
      <x:c r="D5" s="16" t="n">
        <x:v>0.958</x:v>
      </x:c>
      <x:c r="E5" s="16" t="n">
        <x:v>0.777</x:v>
      </x:c>
      <x:c r="F5" s="16" t="n">
        <x:v>0.24100000000000002</x:v>
      </x:c>
      <x:c r="G5" s="16" t="n">
        <x:v>0.139</x:v>
      </x:c>
      <x:c r="H5" s="16" t="n">
        <x:v>0.023</x:v>
      </x:c>
      <x:c r="I5" s="10" t="str">
        <x:v>main</x:v>
      </x:c>
      <x:c r="J5" s="10" t="str">
        <x:v>436667f..ad9e37c</x:v>
      </x:c>
      <x:c r="K5" s="9" t="str">
        <x:v>Corte posterior a FARO main@436667f hasta origin/main@ad9e37c: 55 commits (52 sin merge y 3 merges), 343 archivos y 9 días-persona nuevos después de descontar el 27/08 ya contabilizado para Luis. Se integraron revisión GTRS con observaciones, decisiones, trazabilidad y reasignación; registro de clientes aceptados full-stack; IAM/Entra en preproducción e infraestructura Azure. Horas estimadas: 72.0 h (Aarón 32.0 h; Luis Martínez 32.0 h; Daniel Pulido 8.0 h), acumulado 903.0 h. Avance general 65.8%. Pendientes determinantes: formulario y revisión PAC/PACC, lista oficial condicionada por PACC, correos de extremo a extremo, UAT, publicación integral y migración de datos.</x:v>
      </x:c>
    </x:row>
    <x:row r="6" ht="180" customHeight="1">
      <x:c r="A6" s="15" t="d">
        <x:v>2026-10-26T12:00:00.000Z</x:v>
      </x:c>
      <x:c r="B6" s="16" t="n">
        <x:v>0.711</x:v>
      </x:c>
      <x:c r="C6" s="16" t="n">
        <x:v>1</x:v>
      </x:c>
      <x:c r="D6" s="16" t="n">
        <x:v>0.958</x:v>
      </x:c>
      <x:c r="E6" s="16" t="n">
        <x:v>0.857</x:v>
      </x:c>
      <x:c r="F6" s="16" t="n">
        <x:v>0.24100000000000002</x:v>
      </x:c>
      <x:c r="G6" s="16" t="n">
        <x:v>0.139</x:v>
      </x:c>
      <x:c r="H6" s="16" t="n">
        <x:v>0.023</x:v>
      </x:c>
      <x:c r="I6" s="10" t="str">
        <x:v>main</x:v>
      </x:c>
      <x:c r="J6" s="10" t="str">
        <x:v>ad9e37c..252ab4b</x:v>
      </x:c>
      <x:c r="K6" s="9" t="str">
        <x:v>Corte FARO main ad9e37c..252ab4b: 131 commits (117 sin merge, 14 merges), 683 archivos. 28 commits de documentación/configuración sin funcionalidad excluidos del avance. Avance verificado en código, contratos y pruebas: corrección/reenvío GTRS, trazabilidad, auditoría, bandeja/notificaciones parciales, Microsoft multitenant, backend canónico ASEG y UI conectada de creación/guardado acotado. ASEG formulario 45% y revisión 40%; los paneles de simulación y los cuestionarios candidatos no acreditan el circuito funcional completo. Horas estimadas: 192 h (Aarón Mayorga 96 h; Luis Martínez 96 h); acumulado 1095 h. Avance 71.1%. No acredita UAT ni producción. Pendientes: cuestionarios completos y UI de revisión ASEG, activación/despliegue, correo de aprobación, aceptación humana y migración histórica.</x:v>
      </x:c>
    </x:row>
  </x:sheetData>
  <x:pageMargins left="0.7" right="0.7" top="0.75" bottom="0.75" header="0.3" footer="0.3"/>
</x:worksheet>
</file>

<file path=xl/worksheets/sheet5.xml><?xml version="1.0" encoding="utf-8"?>
<x:worksheet xmlns:x="http://schemas.openxmlformats.org/spreadsheetml/2006/main">
  <x:sheetFormatPr baseColWidth="10" defaultRowHeight="14.5"/>
  <x:cols>
    <x:col min="1" max="1" width="50.83203125" customWidth="1"/>
    <x:col min="2" max="2" width="25.83203125" customWidth="1"/>
    <x:col min="3" max="3" width="16.83203125" customWidth="1"/>
    <x:col min="4" max="4" width="20.83203125" customWidth="1"/>
    <x:col min="5" max="5" width="26.83203125" customWidth="1"/>
    <x:col min="6" max="6" width="12.83203125" customWidth="1"/>
    <x:col min="7" max="7" width="38.83203125" customWidth="1"/>
    <x:col min="8" max="8" width="42.83203125" customWidth="1"/>
    <x:col min="9" max="9" width="52.83203125" customWidth="1"/>
  </x:cols>
  <x:sheetData>
    <x:row r="1" ht="32" customHeight="1">
      <x:c r="A1" s="3" t="s">
        <x:v>101</x:v>
      </x:c>
      <x:c r="B1" s="3" t="s">
        <x:v>102</x:v>
      </x:c>
      <x:c r="C1" s="3" t="s">
        <x:v>87</x:v>
      </x:c>
      <x:c r="D1" s="3" t="s">
        <x:v>103</x:v>
      </x:c>
      <x:c r="E1" s="3" t="s">
        <x:v>104</x:v>
      </x:c>
      <x:c r="F1" s="3" t="s">
        <x:v>68</x:v>
      </x:c>
      <x:c r="G1" s="3" t="s">
        <x:v>105</x:v>
      </x:c>
      <x:c r="H1" s="3" t="s">
        <x:v>106</x:v>
      </x:c>
      <x:c r="I1" s="3" t="s">
        <x:v>107</x:v>
      </x:c>
    </x:row>
    <x:row r="2" ht="48" customHeight="1">
      <x:c r="A2" s="3" t="s">
        <x:v>108</x:v>
      </x:c>
      <x:c r="B2" s="3" t="s">
        <x:v>109</x:v>
      </x:c>
      <x:c r="C2" s="3" t="s">
        <x:v>110</x:v>
      </x:c>
      <x:c r="D2" s="3" t="s">
        <x:v>111</x:v>
      </x:c>
      <x:c r="E2" s="3" t="s">
        <x:v>29</x:v>
      </x:c>
      <x:c r="F2" s="3" t="s">
        <x:v>72</x:v>
      </x:c>
      <x:c r="G2" s="3" t="s">
        <x:v>112</x:v>
      </x:c>
      <x:c r="H2" s="3" t="s">
        <x:v>113</x:v>
      </x:c>
      <x:c r="I2" s="3" t="s">
        <x:v>114</x:v>
      </x:c>
    </x:row>
    <x:row r="3" ht="36" customHeight="1">
      <x:c r="A3" t="str">
        <x:v>01a0437e-6b05-7f42-a15a-e9a58c829943-20260904</x:v>
      </x:c>
      <x:c r="B3" s="17" t="str">
        <x:v>UTC 2026-09-04T21:50:19.224Z</x:v>
      </x:c>
      <x:c r="C3" t="str">
        <x:v>2026-09-04</x:v>
      </x:c>
      <x:c r="D3" t="str">
        <x:v>aaron</x:v>
      </x:c>
      <x:c r="E3" t="str">
        <x:v>Aarón Mayorga</x:v>
      </x:c>
      <x:c r="F3" t="str">
        <x:v>DEV</x:v>
      </x:c>
      <x:c r="G3" t="str">
        <x:v>Actualización manual asistida por Codex</x:v>
      </x:c>
      <x:c r="H3" t="str">
        <x:v>FARO_Cronograma_2026-09-04.xlsx</x:v>
      </x:c>
      <x:c r="I3" t="str">
        <x:v>Seguimiento 3c9cc60 / FARO 436667f..ad9e37c</x:v>
      </x:c>
    </x:row>
    <x:row r="4" ht="36" customHeight="1">
      <x:c r="A4" s="10" t="str">
        <x:v>01a0437e-6b05-7f42-a15a-e9a58c829943-20261026</x:v>
      </x:c>
      <x:c r="B4" s="18" t="str">
        <x:v>UTC 2026-10-26T14:01:26.611Z</x:v>
      </x:c>
      <x:c r="C4" s="10" t="str">
        <x:v>2026-10-26</x:v>
      </x:c>
      <x:c r="D4" s="10" t="str">
        <x:v>aaron</x:v>
      </x:c>
      <x:c r="E4" s="10" t="str">
        <x:v>Aarón Mayorga</x:v>
      </x:c>
      <x:c r="F4" s="10" t="str">
        <x:v>DEV</x:v>
      </x:c>
      <x:c r="G4" s="9" t="str">
        <x:v>Actualización asistida por Codex basada en implementación</x:v>
      </x:c>
      <x:c r="H4" s="10" t="str">
        <x:v>FARO_Cronograma_2026-10-26.xlsx</x:v>
      </x:c>
      <x:c r="I4" s="10" t="str">
        <x:v>Seguimiento 85b8469 / FARO ad9e37c..252ab4b</x:v>
      </x:c>
    </x:row>
  </x:sheetData>
  <x:pageMargins left="0.7" right="0.7" top="0.75" bottom="0.75" header="0.3" footer="0.3"/>
</x:worksheet>
</file>

<file path=xl/worksheets/sheet6.xml><?xml version="1.0" encoding="utf-8"?>
<x:worksheet xmlns:x="http://schemas.openxmlformats.org/spreadsheetml/2006/main">
  <x:sheetFormatPr baseColWidth="10" defaultRowHeight="14.5"/>
  <x:cols>
    <x:col min="1" max="1" width="34" customWidth="1"/>
    <x:col min="2" max="2" width="72" customWidth="1"/>
    <x:col min="3" max="5" width="18" customWidth="1"/>
    <x:col min="6" max="6" width="8" customWidth="1"/>
  </x:cols>
  <x:sheetData>
    <x:row r="1" ht="34" customHeight="1">
      <x:c r="A1" s="2" t="s">
        <x:v>115</x:v>
      </x:c>
      <x:c r="B1" s="2"/>
      <x:c r="C1" s="2"/>
      <x:c r="D1" s="2"/>
      <x:c r="E1" s="2"/>
      <x:c r="F1" s="2"/>
    </x:row>
    <x:row r="2" ht="15.5"/>
    <x:row r="3" ht="15.5">
      <x:c r="A3" t="s">
        <x:v>116</x:v>
      </x:c>
      <x:c r="B3" t="s">
        <x:v>95</x:v>
      </x:c>
    </x:row>
    <x:row r="4" ht="15.5">
      <x:c r="A4" t="s">
        <x:v>117</x:v>
      </x:c>
      <x:c r="B4" t="s">
        <x:v>118</x:v>
      </x:c>
    </x:row>
    <x:row r="5" ht="15.5">
      <x:c r="A5" t="s">
        <x:v>119</x:v>
      </x:c>
      <x:c r="B5">
        <x:v>364</x:v>
      </x:c>
    </x:row>
    <x:row r="6" ht="15.5">
      <x:c r="A6" t="s">
        <x:v>120</x:v>
      </x:c>
      <x:c r="B6">
        <x:v>355</x:v>
      </x:c>
    </x:row>
    <x:row r="7" ht="15.5">
      <x:c r="A7" t="s">
        <x:v>121</x:v>
      </x:c>
      <x:c r="B7">
        <x:v>9</x:v>
      </x:c>
    </x:row>
    <x:row r="8" ht="15.5">
      <x:c r="A8" t="s">
        <x:v>122</x:v>
      </x:c>
      <x:c r="B8">
        <x:v>443</x:v>
      </x:c>
    </x:row>
    <x:row r="9" ht="15.5">
      <x:c r="A9" t="s">
        <x:v>123</x:v>
      </x:c>
      <x:c r="B9" t="s">
        <x:v>124</x:v>
      </x:c>
    </x:row>
    <x:row r="10" ht="15.5">
      <x:c r="A10" t="s">
        <x:v>125</x:v>
      </x:c>
      <x:c r="B10" t="s">
        <x:v>126</x:v>
      </x:c>
    </x:row>
    <x:row r="11" ht="15.5"/>
    <x:row r="12" ht="15.5">
      <x:c r="A12" t="s">
        <x:v>127</x:v>
      </x:c>
      <x:c r="B12" t="s">
        <x:v>128</x:v>
      </x:c>
      <x:c r="C12" t="s">
        <x:v>129</x:v>
      </x:c>
      <x:c r="D12" t="s">
        <x:v>130</x:v>
      </x:c>
      <x:c r="E12" t="s">
        <x:v>131</x:v>
      </x:c>
    </x:row>
    <x:row r="13" ht="15.5">
      <x:c r="A13" t="s">
        <x:v>29</x:v>
      </x:c>
      <x:c r="B13" s="1">
        <x:v>263</x:v>
      </x:c>
      <x:c r="C13" s="1">
        <x:v>7</x:v>
      </x:c>
      <x:c r="D13" s="1">
        <x:v>8</x:v>
      </x:c>
      <x:c r="E13" s="1" t="n">
        <x:f>C13*D13</x:f>
        <x:v>56</x:v>
      </x:c>
    </x:row>
    <x:row r="14" ht="15.5">
      <x:c r="A14" t="s">
        <x:v>75</x:v>
      </x:c>
      <x:c r="B14" s="1">
        <x:v>101</x:v>
      </x:c>
      <x:c r="C14" s="1">
        <x:v>9</x:v>
      </x:c>
      <x:c r="D14" s="1">
        <x:v>8</x:v>
      </x:c>
      <x:c r="E14" s="1" t="n">
        <x:f>C14*D14</x:f>
        <x:v>72</x:v>
      </x:c>
    </x:row>
    <x:row r="15" ht="15.5">
      <x:c r="A15" t="s">
        <x:v>132</x:v>
      </x:c>
      <x:c r="B15" s="1">
        <x:v>364</x:v>
      </x:c>
      <x:c r="C15" s="1">
        <x:v>16</x:v>
      </x:c>
      <x:c r="E15" s="1" t="n">
        <x:f>SUM(E13:E14)</x:f>
        <x:v>128</x:v>
      </x:c>
    </x:row>
    <x:row r="16" ht="15.5"/>
    <x:row r="17" ht="72" customHeight="1">
      <x:c r="A17" s="8" t="s">
        <x:v>133</x:v>
      </x:c>
      <x:c r="B17" s="8"/>
      <x:c r="C17" s="8"/>
      <x:c r="D17" s="8"/>
      <x:c r="E17" s="8"/>
      <x:c r="F17" s="8"/>
    </x:row>
    <x:row r="18" ht="15.5"/>
    <x:row r="19" ht="15.5">
      <x:c r="A19" t="s">
        <x:v>134</x:v>
      </x:c>
      <x:c r="B19" t="s">
        <x:v>135</x:v>
      </x:c>
      <x:c r="C19" t="s">
        <x:v>75</x:v>
      </x:c>
      <x:c r="D19" t="s">
        <x:v>136</x:v>
      </x:c>
      <x:c r="E19" t="s">
        <x:v>132</x:v>
      </x:c>
    </x:row>
    <x:row r="20" ht="15.5">
      <x:c r="A20" t="s">
        <x:v>137</x:v>
      </x:c>
      <x:c r="B20" s="1">
        <x:v>149</x:v>
      </x:c>
      <x:c r="C20" s="1">
        <x:v>36</x:v>
      </x:c>
      <x:c r="D20" s="1">
        <x:v>82</x:v>
      </x:c>
      <x:c r="E20" s="1">
        <x:v>267</x:v>
      </x:c>
    </x:row>
    <x:row r="21" ht="15.5">
      <x:c r="A21" t="s">
        <x:v>138</x:v>
      </x:c>
      <x:c r="B21" s="1">
        <x:v>56</x:v>
      </x:c>
      <x:c r="C21" s="1">
        <x:v>72</x:v>
      </x:c>
      <x:c r="D21" s="1">
        <x:v>0</x:v>
      </x:c>
      <x:c r="E21" s="1">
        <x:v>128</x:v>
      </x:c>
    </x:row>
    <x:row r="22" ht="15.5">
      <x:c r="A22" t="s">
        <x:v>139</x:v>
      </x:c>
      <x:c r="B22" s="1">
        <x:v>130</x:v>
      </x:c>
      <x:c r="C22" s="1">
        <x:v>130</x:v>
      </x:c>
      <x:c r="D22" s="1">
        <x:v>0</x:v>
      </x:c>
      <x:c r="E22" s="1">
        <x:v>260</x:v>
      </x:c>
    </x:row>
    <x:row r="23" ht="15.5">
      <x:c r="A23" t="s">
        <x:v>140</x:v>
      </x:c>
      <x:c r="B23" s="1">
        <x:v>72</x:v>
      </x:c>
      <x:c r="C23" s="1">
        <x:v>104</x:v>
      </x:c>
      <x:c r="D23" s="1">
        <x:v>0</x:v>
      </x:c>
      <x:c r="E23" s="1">
        <x:v>176</x:v>
      </x:c>
    </x:row>
    <x:row r="24" ht="15.5">
      <x:c r="A24" t="str">
        <x:v>Horas del corte 04/09</x:v>
      </x:c>
      <x:c r="B24" s="1" t="n">
        <x:v>32</x:v>
      </x:c>
      <x:c r="C24" s="1" t="n">
        <x:v>32</x:v>
      </x:c>
      <x:c r="D24" s="1" t="n">
        <x:v>8</x:v>
      </x:c>
      <x:c r="E24" s="1" t="n">
        <x:v>72</x:v>
      </x:c>
    </x:row>
    <x:row r="25">
      <x:c r="A25" t="str">
        <x:v>Horas del corte 26/10</x:v>
      </x:c>
      <x:c r="B25" s="1" t="n">
        <x:v>96</x:v>
      </x:c>
      <x:c r="C25" s="1" t="n">
        <x:v>96</x:v>
      </x:c>
      <x:c r="D25" s="1" t="n">
        <x:v>0</x:v>
      </x:c>
      <x:c r="E25" s="1" t="n">
        <x:v>192</x:v>
      </x:c>
    </x:row>
    <x:row r="26">
      <x:c r="A26" t="str">
        <x:v>Acumulado</x:v>
      </x:c>
      <x:c r="B26" t="n">
        <x:f>SUM(B20:B25)</x:f>
        <x:v>535</x:v>
      </x:c>
      <x:c r="C26" t="n">
        <x:f>SUM(C20:C25)</x:f>
        <x:v>470</x:v>
      </x:c>
      <x:c r="D26" t="n">
        <x:f>SUM(D20:D25)</x:f>
        <x:v>90</x:v>
      </x:c>
      <x:c r="E26" t="n">
        <x:f>SUM(E20:E25)</x:f>
        <x:v>1095</x:v>
      </x:c>
    </x:row>
    <x:row r="27" ht="34" customHeight="1">
      <x:c r="A27" s="2" t="s">
        <x:v>141</x:v>
      </x:c>
      <x:c r="B27" s="2"/>
      <x:c r="C27" s="2"/>
      <x:c r="D27" s="2"/>
      <x:c r="E27" s="2"/>
      <x:c r="F27" s="2"/>
    </x:row>
    <x:row r="29" ht="15.5">
      <x:c r="A29" t="s">
        <x:v>116</x:v>
      </x:c>
      <x:c r="B29" t="s">
        <x:v>99</x:v>
      </x:c>
    </x:row>
    <x:row r="30" ht="15.5">
      <x:c r="A30" t="s">
        <x:v>117</x:v>
      </x:c>
      <x:c r="B30" t="s">
        <x:v>142</x:v>
      </x:c>
    </x:row>
    <x:row r="31" ht="15.5">
      <x:c r="A31" t="s">
        <x:v>119</x:v>
      </x:c>
      <x:c r="B31">
        <x:v>108</x:v>
      </x:c>
    </x:row>
    <x:row r="32" ht="15.5">
      <x:c r="A32" t="s">
        <x:v>120</x:v>
      </x:c>
      <x:c r="B32">
        <x:v>94</x:v>
      </x:c>
    </x:row>
    <x:row r="33" ht="15.5">
      <x:c r="A33" t="s">
        <x:v>121</x:v>
      </x:c>
      <x:c r="B33">
        <x:v>14</x:v>
      </x:c>
    </x:row>
    <x:row r="34" ht="15.5">
      <x:c r="A34" t="s">
        <x:v>122</x:v>
      </x:c>
      <x:c r="B34">
        <x:v>367</x:v>
      </x:c>
    </x:row>
    <x:row r="35" ht="15.5">
      <x:c r="A35" t="s">
        <x:v>123</x:v>
      </x:c>
      <x:c r="B35" t="s">
        <x:v>143</x:v>
      </x:c>
    </x:row>
    <x:row r="36" ht="15.5">
      <x:c r="A36" t="s">
        <x:v>125</x:v>
      </x:c>
      <x:c r="B36" t="s">
        <x:v>144</x:v>
      </x:c>
    </x:row>
    <x:row r="38" ht="15.5">
      <x:c r="A38" t="s">
        <x:v>127</x:v>
      </x:c>
      <x:c r="B38" t="s">
        <x:v>128</x:v>
      </x:c>
      <x:c r="C38" t="s">
        <x:v>129</x:v>
      </x:c>
      <x:c r="D38" t="s">
        <x:v>130</x:v>
      </x:c>
      <x:c r="E38" t="s">
        <x:v>131</x:v>
      </x:c>
    </x:row>
    <x:row r="39" ht="15.5">
      <x:c r="A39" t="s">
        <x:v>29</x:v>
      </x:c>
      <x:c r="B39" s="1">
        <x:v>24</x:v>
      </x:c>
      <x:c r="C39" s="1">
        <x:v>9</x:v>
      </x:c>
      <x:c r="D39" s="1">
        <x:v>8</x:v>
      </x:c>
      <x:c r="E39" s="1" t="n">
        <x:f>C39*D39</x:f>
        <x:v>72</x:v>
      </x:c>
    </x:row>
    <x:row r="40" ht="15.5">
      <x:c r="A40" t="s">
        <x:v>75</x:v>
      </x:c>
      <x:c r="B40" s="1">
        <x:v>84</x:v>
      </x:c>
      <x:c r="C40" s="1">
        <x:v>13</x:v>
      </x:c>
      <x:c r="D40" s="1">
        <x:v>8</x:v>
      </x:c>
      <x:c r="E40" s="1" t="n">
        <x:f>C40*D40</x:f>
        <x:v>104</x:v>
      </x:c>
    </x:row>
    <x:row r="41" ht="15.5">
      <x:c r="A41" t="s">
        <x:v>132</x:v>
      </x:c>
      <x:c r="B41" s="1">
        <x:v>108</x:v>
      </x:c>
      <x:c r="C41" s="1">
        <x:v>22</x:v>
      </x:c>
      <x:c r="D41" s="1" t="s">
        <x:v>30</x:v>
      </x:c>
      <x:c r="E41" s="1" t="n">
        <x:f>SUM(E39:E40)</x:f>
        <x:v>176</x:v>
      </x:c>
    </x:row>
    <x:row r="42" ht="15.5"/>
    <x:row r="43" ht="72" customHeight="1">
      <x:c r="A43" s="8" t="s">
        <x:v>145</x:v>
      </x:c>
      <x:c r="B43" s="8"/>
      <x:c r="C43" s="8"/>
      <x:c r="D43" s="8"/>
      <x:c r="E43" s="8"/>
      <x:c r="F43" s="8"/>
    </x:row>
    <x:row r="44" ht="15.5"/>
    <x:row r="45" ht="34" customHeight="1">
      <x:c r="A45" s="10" t="str">
        <x:v>Evidencia de horas · Corte 27/08–04/09/2026</x:v>
      </x:c>
      <x:c r="B45" s="10"/>
      <x:c r="C45" s="10"/>
      <x:c r="D45" s="10"/>
      <x:c r="E45" s="10"/>
      <x:c r="F45" s="10"/>
    </x:row>
    <x:row r="46">
      <x:c r="A46" s="10"/>
      <x:c r="B46" s="10"/>
      <x:c r="C46" s="10"/>
      <x:c r="D46" s="10"/>
      <x:c r="E46" s="10"/>
      <x:c r="F46" s="10"/>
    </x:row>
    <x:row r="47">
      <x:c r="A47" s="10" t="str">
        <x:v>Rango Git</x:v>
      </x:c>
      <x:c r="B47" s="10" t="str">
        <x:v>436667f..ad9e37c</x:v>
      </x:c>
      <x:c r="C47" s="10"/>
      <x:c r="D47" s="10"/>
      <x:c r="E47" s="10"/>
      <x:c r="F47" s="10"/>
    </x:row>
    <x:row r="48">
      <x:c r="A48" s="10" t="str">
        <x:v>Fuente GitHub</x:v>
      </x:c>
      <x:c r="B48" s="10" t="str">
        <x:v>https://github.com/Grant-Thornton-Costa-Rica/FARO/compare/436667f...ad9e37c</x:v>
      </x:c>
      <x:c r="C48" s="10"/>
      <x:c r="D48" s="10"/>
      <x:c r="E48" s="10"/>
      <x:c r="F48" s="10"/>
    </x:row>
    <x:row r="49">
      <x:c r="A49" s="10" t="str">
        <x:v>Commits totales</x:v>
      </x:c>
      <x:c r="B49" s="10" t="n">
        <x:v>55</x:v>
      </x:c>
      <x:c r="C49" s="10"/>
      <x:c r="D49" s="10"/>
      <x:c r="E49" s="10"/>
      <x:c r="F49" s="10"/>
    </x:row>
    <x:row r="50">
      <x:c r="A50" s="10" t="str">
        <x:v>Commits sin merge</x:v>
      </x:c>
      <x:c r="B50" s="10" t="n">
        <x:v>52</x:v>
      </x:c>
      <x:c r="C50" s="10"/>
      <x:c r="D50" s="10"/>
      <x:c r="E50" s="10"/>
      <x:c r="F50" s="10"/>
    </x:row>
    <x:row r="51">
      <x:c r="A51" s="10" t="str">
        <x:v>Merges</x:v>
      </x:c>
      <x:c r="B51" s="10" t="n">
        <x:v>3</x:v>
      </x:c>
      <x:c r="C51" s="10"/>
      <x:c r="D51" s="10"/>
      <x:c r="E51" s="10"/>
      <x:c r="F51" s="10"/>
    </x:row>
    <x:row r="52">
      <x:c r="A52" s="10" t="str">
        <x:v>Archivos modificados</x:v>
      </x:c>
      <x:c r="B52" s="10" t="n">
        <x:v>343</x:v>
      </x:c>
      <x:c r="C52" s="10"/>
      <x:c r="D52" s="10"/>
      <x:c r="E52" s="10"/>
      <x:c r="F52" s="10"/>
    </x:row>
    <x:row r="53">
      <x:c r="A53" s="10" t="str">
        <x:v>Inserciones / eliminaciones</x:v>
      </x:c>
      <x:c r="B53" s="10" t="str">
        <x:v>62,700 / 15,967</x:v>
      </x:c>
      <x:c r="C53" s="10"/>
      <x:c r="D53" s="10"/>
      <x:c r="E53" s="10"/>
      <x:c r="F53" s="10"/>
    </x:row>
    <x:row r="54">
      <x:c r="A54" s="10" t="str">
        <x:v>Método</x:v>
      </x:c>
      <x:c r="B54" s="10" t="str">
        <x:v>8 horas por día-persona con actividad sin merge; se descuenta cualquier día ya contado en el corte anterior.</x:v>
      </x:c>
      <x:c r="C54" s="10"/>
      <x:c r="D54" s="10"/>
      <x:c r="E54" s="10"/>
      <x:c r="F54" s="10"/>
    </x:row>
    <x:row r="55">
      <x:c r="A55" s="10"/>
      <x:c r="B55" s="10"/>
      <x:c r="C55" s="10"/>
      <x:c r="D55" s="10"/>
      <x:c r="E55" s="10"/>
      <x:c r="F55" s="10"/>
    </x:row>
    <x:row r="56">
      <x:c r="A56" s="10" t="str">
        <x:v>Persona</x:v>
      </x:c>
      <x:c r="B56" s="10" t="str">
        <x:v>Commits</x:v>
      </x:c>
      <x:c r="C56" s="10" t="str">
        <x:v>Días computados</x:v>
      </x:c>
      <x:c r="D56" s="10" t="str">
        <x:v>Horas/día</x:v>
      </x:c>
      <x:c r="E56" s="10" t="str">
        <x:v>Horas estimadas</x:v>
      </x:c>
      <x:c r="F56" s="10"/>
    </x:row>
    <x:row r="57">
      <x:c r="A57" s="10" t="str">
        <x:v>Aarón Mayorga</x:v>
      </x:c>
      <x:c r="B57" s="10" t="n">
        <x:v>15</x:v>
      </x:c>
      <x:c r="C57" s="10" t="n">
        <x:v>4</x:v>
      </x:c>
      <x:c r="D57" s="10" t="n">
        <x:v>8</x:v>
      </x:c>
      <x:c r="E57" s="10" t="n">
        <x:f>C57*D57</x:f>
        <x:v>32</x:v>
      </x:c>
      <x:c r="F57" s="10"/>
    </x:row>
    <x:row r="58">
      <x:c r="A58" s="10" t="str">
        <x:v>Luis Martínez</x:v>
      </x:c>
      <x:c r="B58" s="10" t="n">
        <x:v>37</x:v>
      </x:c>
      <x:c r="C58" s="10" t="n">
        <x:v>4</x:v>
      </x:c>
      <x:c r="D58" s="10" t="n">
        <x:v>8</x:v>
      </x:c>
      <x:c r="E58" s="10" t="n">
        <x:f>C58*D58</x:f>
        <x:v>32</x:v>
      </x:c>
      <x:c r="F58" s="10"/>
    </x:row>
    <x:row r="59">
      <x:c r="A59" s="10" t="str">
        <x:v>Daniel Pulido</x:v>
      </x:c>
      <x:c r="B59" s="10" t="n">
        <x:v>3</x:v>
      </x:c>
      <x:c r="C59" s="10" t="n">
        <x:v>1</x:v>
      </x:c>
      <x:c r="D59" s="10" t="n">
        <x:v>8</x:v>
      </x:c>
      <x:c r="E59" s="10" t="n">
        <x:f>C59*D59</x:f>
        <x:v>8</x:v>
      </x:c>
      <x:c r="F59" s="10"/>
    </x:row>
    <x:row r="60">
      <x:c r="A60" s="10" t="str">
        <x:v>Total</x:v>
      </x:c>
      <x:c r="B60" s="10" t="n">
        <x:v>55</x:v>
      </x:c>
      <x:c r="C60" s="10" t="n">
        <x:v>9</x:v>
      </x:c>
      <x:c r="D60" s="10"/>
      <x:c r="E60" s="10" t="n">
        <x:f>SUM(E57:E59)</x:f>
        <x:v>72</x:v>
      </x:c>
      <x:c r="F60" s="10"/>
    </x:row>
    <x:row r="61">
      <x:c r="A61" s="10"/>
      <x:c r="B61" s="10"/>
      <x:c r="C61" s="10"/>
      <x:c r="D61" s="10"/>
      <x:c r="E61" s="10"/>
      <x:c r="F61" s="10"/>
    </x:row>
    <x:row r="62" ht="72" customHeight="1">
      <x:c r="A62" s="9" t="str">
        <x:v>Criterio: los commits prueban actividad y alcance, pero no se convierten uno a uno en horas. La estimación usa días-persona con commits sin merge, descuenta el 27/08 de Luis ya incluido en el corte anterior y distribuye 72.0 h entre entregables verificables. PAC/PACC y los correos del proceso no reciben avance sin evidencia funcional.</x:v>
      </x:c>
      <x:c r="B62" s="9"/>
      <x:c r="C62" s="9"/>
      <x:c r="D62" s="9"/>
      <x:c r="E62" s="9"/>
      <x:c r="F62" s="9"/>
    </x:row>
    <x:row r="64">
      <x:c r="A64" s="10" t="str">
        <x:v>Evidencia de horas. Corte 04/09–26/10/2026</x:v>
      </x:c>
      <x:c r="B64" s="10"/>
      <x:c r="C64" s="10"/>
      <x:c r="D64" s="10"/>
      <x:c r="E64" s="10"/>
      <x:c r="F64" s="10"/>
    </x:row>
    <x:row r="65">
      <x:c r="A65" s="10"/>
      <x:c r="B65" s="10"/>
      <x:c r="C65" s="10"/>
      <x:c r="D65" s="10"/>
      <x:c r="E65" s="10"/>
      <x:c r="F65" s="10"/>
    </x:row>
    <x:row r="66">
      <x:c r="A66" s="10" t="str">
        <x:v>Rango Git</x:v>
      </x:c>
      <x:c r="B66" s="10" t="str">
        <x:v>ad9e37c..252ab4b</x:v>
      </x:c>
      <x:c r="C66" s="10"/>
      <x:c r="D66" s="10"/>
      <x:c r="E66" s="10"/>
      <x:c r="F66" s="10"/>
    </x:row>
    <x:row r="67">
      <x:c r="A67" s="10" t="str">
        <x:v>Fuente GitHub</x:v>
      </x:c>
      <x:c r="B67" s="10" t="str">
        <x:v>https://github.com/Grant-Thornton-Costa-Rica/FARO/compare/ad9e37c...252ab4b</x:v>
      </x:c>
      <x:c r="C67" s="10"/>
      <x:c r="D67" s="10"/>
      <x:c r="E67" s="10"/>
      <x:c r="F67" s="10"/>
    </x:row>
    <x:row r="68">
      <x:c r="A68" s="10" t="str">
        <x:v>Commits totales</x:v>
      </x:c>
      <x:c r="B68" s="10" t="n">
        <x:v>131</x:v>
      </x:c>
      <x:c r="C68" s="10"/>
      <x:c r="D68" s="10"/>
      <x:c r="E68" s="10"/>
      <x:c r="F68" s="10"/>
    </x:row>
    <x:row r="69">
      <x:c r="A69" s="10" t="str">
        <x:v>Commits sin merge</x:v>
      </x:c>
      <x:c r="B69" s="10" t="n">
        <x:v>117</x:v>
      </x:c>
      <x:c r="C69" s="10"/>
      <x:c r="D69" s="10"/>
      <x:c r="E69" s="10"/>
      <x:c r="F69" s="10"/>
    </x:row>
    <x:row r="70">
      <x:c r="A70" s="10" t="str">
        <x:v>Merges</x:v>
      </x:c>
      <x:c r="B70" s="10" t="n">
        <x:v>14</x:v>
      </x:c>
      <x:c r="C70" s="10"/>
      <x:c r="D70" s="10"/>
      <x:c r="E70" s="10"/>
      <x:c r="F70" s="10"/>
    </x:row>
    <x:row r="71">
      <x:c r="A71" s="10" t="str">
        <x:v>Archivos modificados</x:v>
      </x:c>
      <x:c r="B71" s="10" t="n">
        <x:v>683</x:v>
      </x:c>
      <x:c r="C71" s="10"/>
      <x:c r="D71" s="10"/>
      <x:c r="E71" s="10"/>
      <x:c r="F71" s="10"/>
    </x:row>
    <x:row r="72">
      <x:c r="A72" s="10" t="str">
        <x:v>Inserciones / eliminaciones</x:v>
      </x:c>
      <x:c r="B72" s="10" t="str">
        <x:v>196,350 / 23,743</x:v>
      </x:c>
      <x:c r="C72" s="10"/>
      <x:c r="D72" s="10"/>
      <x:c r="E72" s="10"/>
      <x:c r="F72" s="10"/>
    </x:row>
    <x:row r="73">
      <x:c r="A73" s="10" t="str">
        <x:v>Docs/config sin funcionalidad</x:v>
      </x:c>
      <x:c r="B73" s="10" t="n">
        <x:v>28</x:v>
      </x:c>
      <x:c r="C73" s="10"/>
      <x:c r="D73" s="10"/>
      <x:c r="E73" s="10"/>
      <x:c r="F73" s="10"/>
    </x:row>
    <x:row r="74">
      <x:c r="A74" s="10" t="str">
        <x:v>Código/contratos/prototipo</x:v>
      </x:c>
      <x:c r="B74" s="10" t="n">
        <x:v>76</x:v>
      </x:c>
      <x:c r="C74" s="10"/>
      <x:c r="D74" s="10"/>
      <x:c r="E74" s="10"/>
      <x:c r="F74" s="10"/>
    </x:row>
    <x:row r="75" ht="15" customHeight="1">
      <x:c r="A75" s="10" t="str">
        <x:v>Pruebas / evidencia</x:v>
      </x:c>
      <x:c r="B75" s="10" t="n">
        <x:v>11</x:v>
      </x:c>
      <x:c r="C75" s="10"/>
      <x:c r="D75" s="10"/>
      <x:c r="E75" s="10"/>
      <x:c r="F75" s="10"/>
    </x:row>
    <x:row r="76" ht="15" customHeight="1">
      <x:c r="A76" s="10" t="str">
        <x:v>CI / tooling</x:v>
      </x:c>
      <x:c r="B76" s="10" t="n">
        <x:v>2</x:v>
      </x:c>
      <x:c r="C76" s="10"/>
      <x:c r="D76" s="10"/>
      <x:c r="E76" s="10"/>
      <x:c r="F76" s="10"/>
    </x:row>
    <x:row r="77">
      <x:c r="A77" s="10" t="str">
        <x:v>Persona</x:v>
      </x:c>
      <x:c r="B77" s="10" t="str">
        <x:v>Commits totales</x:v>
      </x:c>
      <x:c r="C77" s="10" t="str">
        <x:v>Días nuevos</x:v>
      </x:c>
      <x:c r="D77" s="10" t="str">
        <x:v>Horas/día</x:v>
      </x:c>
      <x:c r="E77" s="10" t="str">
        <x:v>Horas estimadas</x:v>
      </x:c>
      <x:c r="F77" s="10"/>
    </x:row>
    <x:row r="78">
      <x:c r="A78" s="10" t="str">
        <x:v>Aarón Mayorga</x:v>
      </x:c>
      <x:c r="B78" s="19" t="n">
        <x:v>53</x:v>
      </x:c>
      <x:c r="C78" s="19" t="n">
        <x:v>12</x:v>
      </x:c>
      <x:c r="D78" s="19" t="n">
        <x:v>8</x:v>
      </x:c>
      <x:c r="E78" s="19" t="n">
        <x:f>C78*D78</x:f>
        <x:v>96</x:v>
      </x:c>
      <x:c r="F78" s="10"/>
    </x:row>
    <x:row r="79">
      <x:c r="A79" s="10" t="str">
        <x:v>Luis Martínez</x:v>
      </x:c>
      <x:c r="B79" s="19" t="n">
        <x:v>78</x:v>
      </x:c>
      <x:c r="C79" s="19" t="n">
        <x:v>12</x:v>
      </x:c>
      <x:c r="D79" s="19" t="n">
        <x:v>8</x:v>
      </x:c>
      <x:c r="E79" s="19" t="n">
        <x:f>C79*D79</x:f>
        <x:v>96</x:v>
      </x:c>
      <x:c r="F79" s="10"/>
    </x:row>
    <x:row r="80">
      <x:c r="A80" s="10" t="str">
        <x:v>Total</x:v>
      </x:c>
      <x:c r="B80" s="19" t="n">
        <x:v>131</x:v>
      </x:c>
      <x:c r="C80" s="19" t="n">
        <x:v>24</x:v>
      </x:c>
      <x:c r="D80" s="19"/>
      <x:c r="E80" s="19" t="n">
        <x:f>SUM(E78:E79)</x:f>
        <x:v>192</x:v>
      </x:c>
      <x:c r="F80" s="10"/>
    </x:row>
    <x:row r="81">
      <x:c r="A81" s="9"/>
      <x:c r="B81" s="9"/>
      <x:c r="C81" s="9"/>
      <x:c r="D81" s="9"/>
      <x:c r="E81" s="9"/>
      <x:c r="F81" s="9"/>
    </x:row>
    <x:row r="82" ht="72" customHeight="1">
      <x:c r="A82" s="9" t="str">
        <x:v>Estimación, no partes de tiempo: 8 h por día-persona con commits sin merge de implementación o validación. Aarón: 12 días nuevos; se descuenta 04/09 ya contado y se excluye 18/09 solo documental. Luis: 12 días; se excluye 10/09 solo documental. De 117 commits sin merge: 76 código/contratos/esquema/prototipo, 11 pruebas/evidencia, 2 CI/tooling y 28 documentación/configuración sin función (26 estrictamente documentales). Un día mixto cuenta una vez; contratos y pruebas se incluyen en la misma entrega, sin horas duplicadas. El esfuerzo de prototipo se estima como dedicación, pero su simulación no sube el avance funcional. Sin horas nuevas para otros integrantes.</x:v>
      </x:c>
      <x:c r="B82" s="9"/>
      <x:c r="C82" s="9"/>
      <x:c r="D82" s="9"/>
      <x:c r="E82" s="9"/>
      <x:c r="F82" s="9"/>
    </x:row>
    <x:row r="84">
      <x:c r="A84" s="10" t="str">
        <x:v>Implementación contrastada en main@252ab4b</x:v>
      </x:c>
      <x:c r="B84" s="10"/>
      <x:c r="C84" s="10"/>
      <x:c r="D84" s="10"/>
      <x:c r="E84" s="10"/>
      <x:c r="F84" s="10"/>
    </x:row>
    <x:row r="86">
      <x:c r="A86" s="10" t="str">
        <x:v>Área</x:v>
      </x:c>
      <x:c r="B86" s="10" t="str">
        <x:v>Código y contratos verificados</x:v>
      </x:c>
      <x:c r="C86" s="10" t="str">
        <x:v>Pendiente</x:v>
      </x:c>
      <x:c r="D86" s="10"/>
      <x:c r="E86" s="10"/>
      <x:c r="F86" s="10"/>
    </x:row>
    <x:row r="87" ht="76" customHeight="1">
      <x:c r="A87" s="9" t="str">
        <x:v>ASEG captura (45%)</x:v>
      </x:c>
      <x:c r="B87" s="20" t="str">
        <x:v>AsegController.cs; AsegWorkflowService.cs; asegCreationService.ts; useAsegDraftPilot.ts; aseg-initial-creation-view.tsx</x:v>
      </x:c>
      <x:c r="C87" s="20" t="str">
        <x:v>UI conectada acotada. Faltan cuestionarios funcionales, presupuesto, condiciones, cálculos y publicación final.</x:v>
      </x:c>
      <x:c r="D87" s="20"/>
      <x:c r="E87" s="20"/>
      <x:c r="F87" s="9"/>
    </x:row>
    <x:row r="88" ht="76" customHeight="1">
      <x:c r="A88" s="9" t="str">
        <x:v>ASEG revisión (40%)</x:v>
      </x:c>
      <x:c r="B88" s="20" t="str">
        <x:v>AsegWorkflowService.cs; contratos AsegApproval/Submission/RiskCheck; migraciones C4–C6; pruebas .NET y pgTAP</x:v>
      </x:c>
      <x:c r="C88" s="20" t="str">
        <x:v>Sin UI canónica de revisión/aprobaciones/extensión/renovación. Los paneles usan useAsegPrototype en memoria. Flag apagado por defecto.</x:v>
      </x:c>
      <x:c r="D88" s="20"/>
      <x:c r="E88" s="20"/>
      <x:c r="F88" s="9"/>
    </x:row>
    <x:row r="89" ht="76" customHeight="1">
      <x:c r="A89" s="9" t="str">
        <x:v>GTRS y portales</x:v>
      </x:c>
      <x:c r="B89" s="20" t="str">
        <x:v>useGtrsForm.ts; useGtrsReviewCase.ts; gtrs-record-details.tsx; commits bf442b9, b6e40b0, 9fdcc32, 840a2c7</x:v>
      </x:c>
      <x:c r="C89" s="20" t="str">
        <x:v>Corrección/reenvío y trazabilidad reales. Faltan UAT completa, comunicaciones de aprobación/rechazo y decisiones de completitud.</x:v>
      </x:c>
      <x:c r="D89" s="20"/>
      <x:c r="E89" s="20"/>
      <x:c r="F89" s="9"/>
    </x:row>
    <x:row r="90" ht="76" customHeight="1">
      <x:c r="A90" s="9" t="str">
        <x:v>IAM, auditoría y avisos</x:v>
      </x:c>
      <x:c r="B90" s="20" t="str">
        <x:v>Prealta Microsoft 61e7149/19166fb; auditoría d9ccdbd/84866a2; Wave 1B 87b04bb; bloqueo 287c49a</x:v>
      </x:c>
      <x:c r="C90" s="20" t="str">
        <x:v>Correo de aprobación deshabilitado. Matriz multitenant, offboarding y canales completos pendientes. QA no acredita producción.</x:v>
      </x:c>
      <x:c r="D90" s="20"/>
      <x:c r="E90" s="20"/>
      <x:c r="F90" s="9"/>
    </x:row>
    <x:row r="91" ht="76" customHeight="1">
      <x:c r="A91" s="9" t="str">
        <x:v>Lista y contratos</x:v>
      </x:c>
      <x:c r="B91" s="20" t="str">
        <x:v>Entrada ASEG y catálogos: 363c676, 9bb6bfe, 88034e0, 5be213a; DTOs .NET y Zod versionados</x:v>
      </x:c>
      <x:c r="C91" s="20" t="str">
        <x:v>Lista basada en GTRS aceptado. ASEG requiere su circuito funcional y activación; contratos sin UI completa no equivalen a flujo entregado.</x:v>
      </x:c>
      <x:c r="D91" s="20"/>
      <x:c r="E91" s="20"/>
      <x:c r="F91" s="9"/>
    </x:row>
    <x:row r="92" ht="76" customHeight="1">
      <x:c r="A92" s="9" t="str">
        <x:v>Verificación actual</x:v>
      </x:c>
      <x:c r="B92" s="20" t="str">
        <x:v>26/10: Vitest, 8 suites focalizadas de servicios, DTOs, hooks y vistas ASEG. 118 pruebas correctas.</x:v>
      </x:c>
      <x:c r="C92" s="20" t="str">
        <x:v>No se ejecutaron ciclos UAT ni aceptación Microsoft/BFF real. Los escenarios locales versionados usan identidades sintéticas.</x:v>
      </x:c>
      <x:c r="D92" s="20"/>
      <x:c r="E92" s="20"/>
      <x:c r="F92" s="9"/>
    </x:row>
    <x:row r="93" ht="76" customHeight="1">
      <x:c r="A93" s="9" t="str">
        <x:v>Base y exclusiones</x:v>
      </x:c>
      <x:c r="B93" s="20" t="str">
        <x:v>main@252ab4b (23/10), comparado con ad9e37c (04/09). Se conservan 44 tareas y 1.178 h planificadas.</x:v>
      </x:c>
      <x:c r="C93" s="20" t="str">
        <x:v>Documentación y decisiones sin código no suman implementación. Sin evidencia de producción ni migración histórica CSV/SharePoint/ETL/PDF.</x:v>
      </x:c>
      <x:c r="D93" s="20"/>
      <x:c r="E93" s="20"/>
      <x:c r="F93" s="9"/>
    </x:row>
  </x:sheetData>
  <x:mergeCells>
    <x:mergeCell ref="A1:F1"/>
    <x:mergeCell ref="A17:F17"/>
    <x:mergeCell ref="A27:F27"/>
    <x:mergeCell ref="A43:F43"/>
    <x:mergeCell ref="A45:F45"/>
    <x:mergeCell ref="A62:F62"/>
    <x:mergeCell ref="A64:F64"/>
    <x:mergeCell ref="A82:F82"/>
    <x:mergeCell ref="A84:F84"/>
    <x:mergeCell ref="C86:F86"/>
    <x:mergeCell ref="C87:F87"/>
    <x:mergeCell ref="C88:F88"/>
    <x:mergeCell ref="C89:F89"/>
    <x:mergeCell ref="C90:F90"/>
    <x:mergeCell ref="C91:F91"/>
    <x:mergeCell ref="C92:F92"/>
    <x:mergeCell ref="C93:F93"/>
  </x:mergeCells>
  <x:hyperlinks>
    <x:hyperlink xmlns:r="http://schemas.openxmlformats.org/officeDocument/2006/relationships" ref="B30" r:id="R00b1415d5675421f"/>
  </x:hyperlinks>
  <x:pageMargins left="0.7" right="0.7" top="0.75" bottom="0.75" header="0.3" footer="0.3"/>
</x:worksheet>
</file>