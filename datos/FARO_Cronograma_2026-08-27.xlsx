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Seguimiento-FARO\datos\"/>
    </mc:Choice>
  </mc:AlternateContent>
  <xr:revisionPtr revIDLastSave="0" documentId="13_ncr:1_{E47F4886-55C6-412A-B838-5BF084F860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onograma" sheetId="1" r:id="rId1"/>
    <sheet name="Resumen" sheetId="2" r:id="rId2"/>
    <sheet name="Equipo" sheetId="3" r:id="rId3"/>
    <sheet name="Histórico avance" sheetId="4" r:id="rId4"/>
    <sheet name="Auditoría" sheetId="5" r:id="rId5"/>
    <sheet name="Evidencia horas" sheetId="6" r:id="rId6"/>
  </sheets>
  <definedNames>
    <definedName name="_xlnm._FilterDatabase" localSheetId="4">Auditoría!A1:I2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6" l="1"/>
  <c r="E39" i="6"/>
  <c r="E41" i="6" s="1"/>
  <c r="E24" i="6"/>
  <c r="D24" i="6"/>
  <c r="C24" i="6"/>
  <c r="B24" i="6"/>
  <c r="E14" i="6"/>
  <c r="E13" i="6"/>
  <c r="E15" i="6" s="1"/>
  <c r="O34" i="1"/>
  <c r="O30" i="1"/>
  <c r="O29" i="1"/>
  <c r="O26" i="1"/>
  <c r="O25" i="1"/>
  <c r="O24" i="1"/>
  <c r="O23" i="1"/>
  <c r="O22" i="1"/>
  <c r="O21" i="1"/>
  <c r="O20" i="1"/>
  <c r="O19" i="1"/>
  <c r="O18" i="1"/>
  <c r="O17" i="1"/>
  <c r="O16" i="1"/>
  <c r="O12" i="1"/>
  <c r="O11" i="1"/>
</calcChain>
</file>

<file path=xl/sharedStrings.xml><?xml version="1.0" encoding="utf-8"?>
<sst xmlns="http://schemas.openxmlformats.org/spreadsheetml/2006/main" count="367" uniqueCount="196">
  <si>
    <t>ID</t>
  </si>
  <si>
    <t>Fase</t>
  </si>
  <si>
    <t>Tarea</t>
  </si>
  <si>
    <t>Horas Plan</t>
  </si>
  <si>
    <t>Avance %</t>
  </si>
  <si>
    <t>Estado</t>
  </si>
  <si>
    <t>Responsables</t>
  </si>
  <si>
    <t>Horas Luis Montero</t>
  </si>
  <si>
    <t>Horas Aarón Mayorga</t>
  </si>
  <si>
    <t>Horas Luis Martínez</t>
  </si>
  <si>
    <t>Horas Daniel Pulido</t>
  </si>
  <si>
    <t>Horas Karol</t>
  </si>
  <si>
    <t>Horas Jorge Jiménez</t>
  </si>
  <si>
    <t>Horas Kenneth</t>
  </si>
  <si>
    <t>Total Horas Reales</t>
  </si>
  <si>
    <t>Notas</t>
  </si>
  <si>
    <t>Levantamiento</t>
  </si>
  <si>
    <t>Reunión de levantamiento funcional</t>
  </si>
  <si>
    <t>Listo</t>
  </si>
  <si>
    <t>Aarón Mayorga, Luis Martínez</t>
  </si>
  <si>
    <t>Completada sin novedades</t>
  </si>
  <si>
    <t>Elaboración de doc. de requerimientos</t>
  </si>
  <si>
    <t>Luis Montero, Aarón Mayorga, Karol</t>
  </si>
  <si>
    <t>AM realizó requerimientos / LMM revisión</t>
  </si>
  <si>
    <t>Sesión de evacuación de dudas</t>
  </si>
  <si>
    <t>Karol, Jorge Jiménez, Luis Montero</t>
  </si>
  <si>
    <t>Dudas PRE-REGISTRO / Responsabilidad</t>
  </si>
  <si>
    <t>Diseño</t>
  </si>
  <si>
    <t>Doc. Diseño de Arquitectura</t>
  </si>
  <si>
    <t>Aarón Mayorga</t>
  </si>
  <si>
    <t/>
  </si>
  <si>
    <t>Documentar Arquitectura lógica</t>
  </si>
  <si>
    <t>En curso</t>
  </si>
  <si>
    <t>Arquitectura lógica alineada al contexto canónico y al monolito modular; pendiente cierre formal. Equipo del avance: Aarón Mayorga 0.9 h y Luis Martínez 0.9 h. Corte 14/07–04/08 (GitHub): Aarón 0.0 h; Luis Martínez 1.0 h.</t>
  </si>
  <si>
    <t>Documentar Arquitectura física</t>
  </si>
  <si>
    <t>Daniel Pulido</t>
  </si>
  <si>
    <t>🟢 Reutilizable</t>
  </si>
  <si>
    <t>Documentar Pipeline CI/CD</t>
  </si>
  <si>
    <t>Documentar Diseño modular</t>
  </si>
  <si>
    <t>Arquitectura modular documentada y aplicada; pendiente cierre formal. Equipo del avance: Aarón Mayorga 0.5 h y Luis Martínez 0.5 h. Corte 14/07–04/08 (GitHub): Aarón 3.0 h; Luis Martínez 1.0 h.</t>
  </si>
  <si>
    <t>Documentar Seguridad en el diseño</t>
  </si>
  <si>
    <t>BFF, passwordless externo, capacidades y alcance reforzados; pendiente revisión final. Equipo del avance: Aarón Mayorga 0.7 h y Luis Martínez 0.7 h. Corte 14/07–04/08 (GitHub): Aarón 3.0 h; Luis Martínez 2.0 h.</t>
  </si>
  <si>
    <t>Modelo de datos lógico (BD)</t>
  </si>
  <si>
    <t>Modelo canónico de pre-registro, IAM y GTRS implementado; pendientes de waves posteriores. Equipo del avance: Aarón Mayorga 2.9 h y Luis Martínez 2.9 h. Actualización 27/08: Modelo lógico ampliado con cliente canónico por firma, snapshots de versión, Home, rol único, exportaciones y ciclo inicial de revisión. Horas estimadas del corte: Aarón 0.5 h; Luis Martínez 0.8 h.</t>
  </si>
  <si>
    <t>Diseño de APIs (contratos)</t>
  </si>
  <si>
    <t>Contratos canónicos de pre-registro, invitaciones y GTRS implementados y documentados; quedan verticales posteriores. Equipo del avance: Aarón Mayorga 4.7 h y Luis Martínez 4.7 h. Corte 14/07–04/08 (GitHub): Aarón 2.0 h; Luis Martínez 5.0 h. Actualización 27/08: Contratos canónicos para catálogos bilingües, captura y envío, Home por vistas y acciones, exportación e inicio de revisión; quedan las transiciones R3/R4. Horas estimadas del corte: Aarón 0.4 h; Luis Martínez 0.6 h.</t>
  </si>
  <si>
    <t>Configuración de repositorio</t>
  </si>
  <si>
    <t>Corte 14/07–04/08 (GitHub): Aarón 2.0 h; Luis Martínez 1.0 h.</t>
  </si>
  <si>
    <t>Config. ambiente de desarrollo</t>
  </si>
  <si>
    <t>Ambiente local documentado; la configuración definitiva de Microsoft Entra por ambiente sigue pendiente. Equipo del avance: Aarón Mayorga 0.1 h y Luis Martínez 0.1 h. Corte 14/07–04/08 (GitHub): Aarón 1.0 h; Luis Martínez 0.0 h.</t>
  </si>
  <si>
    <t>Config. herramientas y frameworks</t>
  </si>
  <si>
    <t>Daniel Pulido, Luis Montero</t>
  </si>
  <si>
    <t>Corte 14/07–04/08 (GitHub): Aarón 2.0 h; Luis Martínez 2.0 h.</t>
  </si>
  <si>
    <t>Config. ambiente de pruebas</t>
  </si>
  <si>
    <t>Pruebas frontend, backend, esquema y concurrencia disponibles; pendiente completar validación por ambientes. Equipo del avance: Aarón Mayorga 0.8 h y Luis Martínez 0.8 h. Corte 14/07–04/08 (GitHub): Aarón 2.0 h; Luis Martínez 4.0 h. Actualización 27/08: Entorno de pruebas reforzado para Windows y CRLF; reset Supabase, PgTAP, concurrencia, frontend, E2E y .NET verificados. Horas estimadas del corte: Aarón 0.2 h; Luis Martínez 0.3 h.</t>
  </si>
  <si>
    <t>Automatización CI/CD</t>
  </si>
  <si>
    <t>CI de frontend, backend, esquema Supabase y contexto configurado; pendiente validar despliegue integral. Equipo del avance: Aarón Mayorga 1.2 h y Luis Martínez 1.2 h. Corte 14/07–04/08 (GitHub): Aarón 3.0 h; Luis Martínez 3.0 h. Actualización 27/08: CI y rollout del Home ajustados; runner expand/contract y reglas LF incorporados. Release B y migraciones remotas de completitud siguen pendientes. Horas estimadas del corte: Aarón 0.1 h; Luis Martínez 0.2 h.</t>
  </si>
  <si>
    <t>Desarrollo</t>
  </si>
  <si>
    <t>Config. modelo de datos (Tablas, llaves)</t>
  </si>
  <si>
    <t>Esquema canónico, llaves y restricciones de pre-registro/GTRS implementados; pendientes de waves posteriores. Equipo del avance: Aarón Mayorga 3.3 h y Luis Martínez 3.3 h. Corte 14/07–04/08 (GitHub): Aarón 1.0 h; Luis Martínez 7.0 h. Actualización 27/08: Tablas, llaves, catálogos, read models, snapshot de renovación, rol único y persistencia de observaciones integrados para el alcance actual. Horas estimadas del corte: Aarón 0.6 h; Luis Martínez 0.8 h.</t>
  </si>
  <si>
    <t>Stored Procedures y Funciones</t>
  </si>
  <si>
    <t>RPC y funciones de pre-registro, invitaciones, GTRS, idempotencia y alcance global implementadas. Equipo del avance: Aarón Mayorga 3.3 h y Luis Martínez 3.3 h. Corte 14/07–04/08 (GitHub): Aarón 1.0 h; Luis Martínez 5.0 h. Actualización 27/08: RPC y funciones para captura, listado, renovación, exportación, completitud e inicio seguro de revisión integradas. Horas estimadas del corte: Aarón 0.2 h; Luis Martínez 0.4 h.</t>
  </si>
  <si>
    <t>Implementación de triggers</t>
  </si>
  <si>
    <t>Automatizaciones y auditoría transaccional implementadas en flujos Core; cobertura de módulos posteriores pendiente. Equipo del avance: Aarón Mayorga 3.5 h y Luis Martínez 3.5 h. Corte 14/07–04/08 (GitHub): Aarón 0.0 h; Luis Martínez 4.0 h. Actualización 27/08: Auditoría e invariantes reforzadas para identidad, snapshots, observaciones y transiciones; permanece pendiente la cobertura de las etapas posteriores de revisión. Horas estimadas del corte: Aarón 0.5 h; Luis Martínez 0.8 h.</t>
  </si>
  <si>
    <t>Implementación de RBAC</t>
  </si>
  <si>
    <t>RBAC, capacidades y alcance por firma/global endurecidos; aprovisionamiento Microsoft y configuración avanzada pendientes. Equipo del avance: Aarón Mayorga 2.6 h y Luis Martínez 2.6 h. Corte 14/07–04/08 (GitHub): Aarón 3.0 h; Luis Martínez 6.0 h. Actualización 27/08: Alcance por firma y propiedad, cliente externo, rol único, acciones por recurso y separación Administración/Riesgo cerrados; Entra permanece pendiente. Horas estimadas del corte: Aarón 0.4 h; Luis Martínez 0.5 h.</t>
  </si>
  <si>
    <t>Módulo de Administración</t>
  </si>
  <si>
    <t>Pre-registro full-stack integrado en Administrativo: bandeja, creación, invitaciones, aceptación passwordless, auditoría e idempotencia. Pendientes clientes/tenants y aprovisionamiento Microsoft. Equipo del avance: Aarón Mayorga 19.0 h y Luis Martínez 19.0 h. Corte 14/07–04/08 (GitHub): Aarón 8.0 h; Luis Martínez 4.0 h. Actualización 27/08: Bandeja de pre-registro pulida, contratos de identificación corregidos y Home administrativo global integrado. Aprovisionamiento Microsoft permanece pendiente. Horas estimadas del corte: Aarón 2.9 h; Luis Martínez 4.1 h.</t>
  </si>
  <si>
    <t>Módulo Formulario GTRS</t>
  </si>
  <si>
    <t>Backend GTRS cerrado para 8 secciones, lectura, ETag y submit atómico; el frontend /formulario-gtrs-v2 aún usa definición y solicitud mock. Equipo del avance: Aarón Mayorga 24.1 h y Luis Martínez 24.1 h. Corte 14/07–04/08 (GitHub): Aarón 8.0 h; Luis Martínez 10.0 h. Actualización 27/08: Formulario canónico integrado en las nueve secciones con catálogos, hidratación, guardado/envío, Personal clave, validaciones y navegación segura. Pendiente UAT. Horas estimadas del corte: Aarón 17.8 h; Luis Martínez 25.8 h.</t>
  </si>
  <si>
    <t>Módulo Revisión de GTRS</t>
  </si>
  <si>
    <t>State machine, autorización y contratos de revisión presentes; integración funcional completa de revisión/UI pendiente. Equipo del avance: Aarón Mayorga 16.6 h y Luis Martínez 16.6 h. Corte 14/07–04/08 (GitHub): Aarón 5.0 h; Luis Martínez 3.0 h. Actualización 27/08: Cola y lecturas de Riesgo, ruta dedicada, persistencia de observaciones e inicio de revisión implementados. Pendientes editar, publicar, resolver y las transiciones finales. Horas estimadas del corte: Aarón 11.7 h; Luis Martínez 16.8 h.</t>
  </si>
  <si>
    <t>Módulo Portal de Captura</t>
  </si>
  <si>
    <t>Invitación, aceptación passwordless, Magic Link y acceso externo multiempresa implementados; captura GTRS vertical pendiente. Equipo del avance: Aarón Mayorga 27.6 h y Luis Martínez 27.6 h. Corte 14/07–04/08 (GitHub): Aarón 5.0 h; Luis Martínez 2.0 h. Actualización 27/08: Portal externo con Magic Link estable, Mis registros reales, creación contextual y GTRS adicionales, captura completa y controles de acceso. Pendiente UAT. Horas estimadas del corte: Aarón 26.2 h; Luis Martínez 37.9 h.</t>
  </si>
  <si>
    <t>Módulo Portal Interno</t>
  </si>
  <si>
    <t>Pre-registro interno, guards, permisos y gestión de usuarios integrados; otros workspaces conservan mocks/prototipos. Equipo del avance: Aarón Mayorga 7.8 h y Luis Martínez 7.8 h. Corte 14/07–04/08 (GitHub): Aarón 4.0 h; Luis Martínez 1.0 h. Actualización 27/08: Home interno por rol con datos reales, filtros, paginación, creación, renovación, exportación y navegación a revisión; reasignación quedó fuera de alcance. Horas estimadas del corte: Aarón 4.9 h; Luis Martínez 7.1 h.</t>
  </si>
  <si>
    <t>Módulo Formulario Aseguramiento</t>
  </si>
  <si>
    <t>Luis Montero, Aarón Mayorga, Luis Martínez</t>
  </si>
  <si>
    <t>Módulo Revisión Aseguramiento</t>
  </si>
  <si>
    <t>Aarón Mayorga, Luis Montero, Luis Martínez</t>
  </si>
  <si>
    <t>Doc. especificaciones de dev.</t>
  </si>
  <si>
    <t>Contexto canónico, handoffs, decisiones, autenticación, despliegue y runbooks actualizados al 10/08. Equipo del avance: Aarón Mayorga 5.9 h y Luis Martínez 5.9 h. Corte 14/07–04/08 (GitHub): Aarón 2.0 h; Luis Martínez 5.0 h. Actualización 27/08: Contratos, ADR, handoffs, runbooks de rollout, contexto y documentación de GTRS actualizados al 27/08. Horas estimadas del corte: Aarón 2.1 h; Luis Martínez 3.0 h.</t>
  </si>
  <si>
    <t>Pruebas</t>
  </si>
  <si>
    <t>Plan de pruebas</t>
  </si>
  <si>
    <t>Cobertura automatizada amplia en frontend, API, Application, SQL y concurrencia; UAT aún no iniciado. Equipo del avance: Aarón Mayorga 4.5 h y Luis Martínez 4.5 h. Corte 14/07–04/08 (GitHub): Aarón 1.0 h; Luis Martínez 6.0 h. Actualización 27/08: Cobertura ampliada: 536 pruebas frontend, 593 .NET, entre 1,484 y 1,562 PgTAP según el corte y 16 E2E; UAT formal no iniciado. Horas estimadas del corte: Aarón 1.4 h; Luis Martínez 2.0 h.</t>
  </si>
  <si>
    <t>Pruebas UAT Ciclo 1</t>
  </si>
  <si>
    <t>Pendiente</t>
  </si>
  <si>
    <t>Karol, Daniel Pulido, Luis Montero, Jorge Jiménez</t>
  </si>
  <si>
    <t>Corrección ciclo 1</t>
  </si>
  <si>
    <t>Daniel Pulido, Aarón Mayorga, Luis Montero</t>
  </si>
  <si>
    <t>Pruebas UAT Ciclo 2</t>
  </si>
  <si>
    <t>Impl. y Transferencia</t>
  </si>
  <si>
    <t>Impl. ambiente productivo</t>
  </si>
  <si>
    <t>🟠 Optimizado Actualización 27/08: Release A remoto del Home aplicado y verificado; despliegue integral, Release B y cinco migraciones de completitud permanecen pendientes. Horas estimadas del corte: Aarón 2.1 h; Luis Martínez 2.9 h.</t>
  </si>
  <si>
    <t>Guía de despliegue</t>
  </si>
  <si>
    <t>Manual operativo</t>
  </si>
  <si>
    <t>Daniel Pulido, Luis Montero, Kenneth</t>
  </si>
  <si>
    <t>Doc. de estabilización</t>
  </si>
  <si>
    <t>Luis Montero, Aarón Mayorga, Kenneth</t>
  </si>
  <si>
    <t>Migración de Datos</t>
  </si>
  <si>
    <t>Análisis y Mapeo de Datos (CSV)</t>
  </si>
  <si>
    <t>Exportación CSV desde SharePoint</t>
  </si>
  <si>
    <t>Karol, Kenneth</t>
  </si>
  <si>
    <t>Script Python: ETL</t>
  </si>
  <si>
    <t>Aarón Mayorga, Luis Montero</t>
  </si>
  <si>
    <t>Revisión por Independencia</t>
  </si>
  <si>
    <t>Karol, Luis Montero</t>
  </si>
  <si>
    <t>Carga a Supabase</t>
  </si>
  <si>
    <t>Luis Montero, Aarón Mayorga</t>
  </si>
  <si>
    <t>Migración Archivos PDF</t>
  </si>
  <si>
    <t>Validación de Integridad</t>
  </si>
  <si>
    <t>Karol, Aarón Mayorga</t>
  </si>
  <si>
    <t>Doc. Proceso de Migración</t>
  </si>
  <si>
    <t>Tareas</t>
  </si>
  <si>
    <t>Completadas</t>
  </si>
  <si>
    <t>Horas Reales</t>
  </si>
  <si>
    <t>Nombre</t>
  </si>
  <si>
    <t>Rol</t>
  </si>
  <si>
    <t>Dedicación</t>
  </si>
  <si>
    <t>Tareas Asignadas</t>
  </si>
  <si>
    <t>Luis Montero</t>
  </si>
  <si>
    <t>DEV</t>
  </si>
  <si>
    <t>50%</t>
  </si>
  <si>
    <t>75%</t>
  </si>
  <si>
    <t>Luis Martínez</t>
  </si>
  <si>
    <t>45%</t>
  </si>
  <si>
    <t>ARQ</t>
  </si>
  <si>
    <t>30%</t>
  </si>
  <si>
    <t>Karol</t>
  </si>
  <si>
    <t>AF</t>
  </si>
  <si>
    <t>Jorge Jiménez</t>
  </si>
  <si>
    <t>PM</t>
  </si>
  <si>
    <t>40%</t>
  </si>
  <si>
    <t>Kenneth</t>
  </si>
  <si>
    <t>ATI</t>
  </si>
  <si>
    <t>10%</t>
  </si>
  <si>
    <t>Fecha del corte</t>
  </si>
  <si>
    <t>Avance general</t>
  </si>
  <si>
    <t>Impl. y transferencia</t>
  </si>
  <si>
    <t>Migración de datos</t>
  </si>
  <si>
    <t>Rama revisada</t>
  </si>
  <si>
    <t>Commit</t>
  </si>
  <si>
    <t>Notas / evidencia</t>
  </si>
  <si>
    <t>main</t>
  </si>
  <si>
    <t>31ecaf5..95a1b5b</t>
  </si>
  <si>
    <t>Corte 14/07–04/08 validado contra GitHub: 364 commits (355 sin merge + 9 merges), 443 archivos modificados y 16 días-persona activos. Estimación conservadora de 128.0 h omitidas: Aarón 56.0 h y Luis Martínez 72.0 h, a 8 h por día activo y distribuidas por entregable. Evidencia: https://github.com/Grant-Thornton-Costa-Rica/FARO/compare/31ecaf5...95a1b5b</t>
  </si>
  <si>
    <t>fdbea06</t>
  </si>
  <si>
    <t>Corte validado sobre FARO main@fdbea06. Pre-registro full-stack integrado dentro de Administrativo: creación, bandeja, invitación/reenvío/revocación, aceptación passwordless, auditoría, idempotencia y alcance global Riesgo/Admin. También se reconoce el cierre backend GTRS de 8 secciones con ETag y gate de completitud. Pendientes principales: integración vertical del frontend GTRS, aprovisionamiento Microsoft/Entra y UAT. Horas del avance redistribuidas: 260.0 h totales, 130.0 h Aarón Mayorga y 130.0 h Luis Martínez; sin participación de Daniel Pulido, Luis Montero, Karol ni Jorge Jiménez en las tareas que avanzaron. Acumulado al 13/08: 655.0 h = 267.0 h de línea base al 13/07 + 128.0 h estimadas del corte 04/08 + 260.0 h del corte 13/08.</t>
  </si>
  <si>
    <t>fdbea06..436667f</t>
  </si>
  <si>
    <t>Corte 14/08–27/08 validado sobre FARO main@436667f (base fdbea06): 108 commits, 367 archivos modificados y 22 días-persona. Formulario GTRS canónico integrado de extremo a extremo, flujo externo multi-GTRS y Magic Link, Home interno por rol y alcance, catálogos y snapshots, rollout remoto Release A y backend inicial de revisión de Riesgo (observaciones, lecturas e inicio). Pendientes: operaciones completas de revisión, Release B y cinco migraciones de completitud, Microsoft/Entra, UAT y despliegue productivo integral. Horas estimadas: 176.0 h (Aarón 72.0 h; Luis Martínez 104.0 h), a 8 h por día activo; acumulado 831.0 h. Avance general 60.3%.</t>
  </si>
  <si>
    <t>ID de operación</t>
  </si>
  <si>
    <t>Fecha y hora UTC</t>
  </si>
  <si>
    <t>Usuario ID</t>
  </si>
  <si>
    <t>Usuario</t>
  </si>
  <si>
    <t>Acción</t>
  </si>
  <si>
    <t>Archivo</t>
  </si>
  <si>
    <t>Versión base</t>
  </si>
  <si>
    <t>01a0437e-6b05-7f42-a15a-e9a58c829943-20260827</t>
  </si>
  <si>
    <t>2026-08-27T14:19:12.936Z</t>
  </si>
  <si>
    <t>2026-08-27</t>
  </si>
  <si>
    <t>aaron</t>
  </si>
  <si>
    <t>Actualización manual asistida por Codex</t>
  </si>
  <si>
    <t>FARO_Cronograma_2026-08-27.xlsx</t>
  </si>
  <si>
    <t>Seguimiento f5bad43 / FARO fdbea06..436667f</t>
  </si>
  <si>
    <t>Estimación de horas omitidas · Corte 14/07–04/08/2026</t>
  </si>
  <si>
    <t>Rango Git</t>
  </si>
  <si>
    <t>Fuente GitHub</t>
  </si>
  <si>
    <t>https://github.com/Grant-Thornton-Costa-Rica/FARO/compare/31ecaf5...95a1b5b</t>
  </si>
  <si>
    <t>Commits totales</t>
  </si>
  <si>
    <t>Commits sin merge</t>
  </si>
  <si>
    <t>Merges</t>
  </si>
  <si>
    <t>Archivos modificados</t>
  </si>
  <si>
    <t>Inserciones / eliminaciones</t>
  </si>
  <si>
    <t>84,623 / 5,354</t>
  </si>
  <si>
    <t>Método</t>
  </si>
  <si>
    <t>8 horas por día-persona activo; contraste con entregables y cambios del repositorio.</t>
  </si>
  <si>
    <t>Persona</t>
  </si>
  <si>
    <t>Commits</t>
  </si>
  <si>
    <t>Días activos</t>
  </si>
  <si>
    <t>Horas/día</t>
  </si>
  <si>
    <t>Horas estimadas</t>
  </si>
  <si>
    <t>Total</t>
  </si>
  <si>
    <t>Criterio: los commits prueban actividad y alcance, pero no se convierten individualmente en horas. La estimación usa días-persona activos y se distribuye entre tareas con entregables verificables. No se atribuyeron horas del intervalo a personas sin commits.</t>
  </si>
  <si>
    <t>Componente acumulado</t>
  </si>
  <si>
    <t>Aarón</t>
  </si>
  <si>
    <t>Otros históricos</t>
  </si>
  <si>
    <t>Línea base al 13/07</t>
  </si>
  <si>
    <t>Horas omitidas del corte 04/08</t>
  </si>
  <si>
    <t>Horas del corte 13/08</t>
  </si>
  <si>
    <t>Horas del corte 27/08</t>
  </si>
  <si>
    <t>Acumulado</t>
  </si>
  <si>
    <t>Evidencia de horas · Corte 14/08–27/08/2026</t>
  </si>
  <si>
    <t>https://github.com/Grant-Thornton-Costa-Rica/FARO/compare/fdbea06...436667f</t>
  </si>
  <si>
    <t>75,218 / 13,353</t>
  </si>
  <si>
    <t>8 horas por día-persona activo; contraste con entregables, pruebas y cambios del repositorio.</t>
  </si>
  <si>
    <t>Criterio: los commits prueban actividad y alcance, pero no se convierten individualmente en horas. La estimación usa días-persona activos y distribuye 176.0 h proporcionalmente al incremento de esfuerzo planificado de las 16 tareas con entregables verificables. No se atribuyeron horas del intervalo a personas sin commits.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</si>
</sst>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7" fontId="0" fillId="0" borderId="0" xfId="0" applyNumberForma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rant-Thornton-Costa-Rica/FARO/compare/fdbea06...43666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/>
  </sheetViews>
  <sheetFormatPr baseColWidth="10" defaultRowHeight="14.5" x14ac:dyDescent="0.35"/>
  <cols>
    <col min="1" max="1" width="4.83203125" customWidth="1"/>
    <col min="2" max="2" width="22.83203125" customWidth="1"/>
    <col min="3" max="3" width="42.83203125" customWidth="1"/>
    <col min="4" max="4" width="11.83203125" customWidth="1"/>
    <col min="5" max="6" width="10.83203125" customWidth="1"/>
    <col min="7" max="7" width="35.83203125" customWidth="1"/>
    <col min="8" max="14" width="14.83203125" customWidth="1"/>
    <col min="15" max="15" width="16.83203125" customWidth="1"/>
    <col min="16" max="16" width="58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customHeight="1" x14ac:dyDescent="0.35">
      <c r="A2">
        <v>1</v>
      </c>
      <c r="B2" t="s">
        <v>16</v>
      </c>
      <c r="C2" s="3" t="s">
        <v>17</v>
      </c>
      <c r="D2" s="4">
        <v>12</v>
      </c>
      <c r="E2" s="4">
        <v>100</v>
      </c>
      <c r="F2" s="4" t="s">
        <v>18</v>
      </c>
      <c r="G2" s="3" t="s">
        <v>19</v>
      </c>
      <c r="H2" s="5">
        <v>0</v>
      </c>
      <c r="I2" s="5">
        <v>12</v>
      </c>
      <c r="J2" s="5">
        <v>12</v>
      </c>
      <c r="K2" s="5">
        <v>0</v>
      </c>
      <c r="L2" s="5">
        <v>0</v>
      </c>
      <c r="M2" s="5">
        <v>0</v>
      </c>
      <c r="N2" s="5">
        <v>0</v>
      </c>
      <c r="O2" s="5">
        <v>24</v>
      </c>
      <c r="P2" s="3" t="s">
        <v>20</v>
      </c>
    </row>
    <row r="3" spans="1:16" ht="30" customHeight="1" x14ac:dyDescent="0.35">
      <c r="A3">
        <v>2</v>
      </c>
      <c r="B3" t="s">
        <v>16</v>
      </c>
      <c r="C3" s="3" t="s">
        <v>21</v>
      </c>
      <c r="D3" s="4">
        <v>18</v>
      </c>
      <c r="E3" s="4">
        <v>100</v>
      </c>
      <c r="F3" s="4" t="s">
        <v>18</v>
      </c>
      <c r="G3" s="3" t="s">
        <v>22</v>
      </c>
      <c r="H3" s="5">
        <v>0</v>
      </c>
      <c r="I3" s="5">
        <v>30</v>
      </c>
      <c r="J3" s="5">
        <v>0</v>
      </c>
      <c r="K3" s="5">
        <v>0</v>
      </c>
      <c r="L3" s="5">
        <v>5</v>
      </c>
      <c r="M3" s="5">
        <v>0</v>
      </c>
      <c r="N3" s="5">
        <v>0</v>
      </c>
      <c r="O3" s="5">
        <v>35</v>
      </c>
      <c r="P3" s="3" t="s">
        <v>23</v>
      </c>
    </row>
    <row r="4" spans="1:16" ht="30" customHeight="1" x14ac:dyDescent="0.35">
      <c r="A4">
        <v>3</v>
      </c>
      <c r="B4" t="s">
        <v>16</v>
      </c>
      <c r="C4" s="3" t="s">
        <v>24</v>
      </c>
      <c r="D4" s="4">
        <v>6</v>
      </c>
      <c r="E4" s="4">
        <v>100</v>
      </c>
      <c r="F4" s="4" t="s">
        <v>18</v>
      </c>
      <c r="G4" s="3" t="s">
        <v>25</v>
      </c>
      <c r="H4" s="5">
        <v>4</v>
      </c>
      <c r="I4" s="5">
        <v>4</v>
      </c>
      <c r="J4" s="5">
        <v>4</v>
      </c>
      <c r="K4" s="5">
        <v>0</v>
      </c>
      <c r="L4" s="5">
        <v>4</v>
      </c>
      <c r="M4" s="5">
        <v>4</v>
      </c>
      <c r="N4" s="5">
        <v>0</v>
      </c>
      <c r="O4" s="5">
        <v>20</v>
      </c>
      <c r="P4" s="3" t="s">
        <v>26</v>
      </c>
    </row>
    <row r="5" spans="1:16" ht="15.5" x14ac:dyDescent="0.35">
      <c r="A5">
        <v>4</v>
      </c>
      <c r="B5" t="s">
        <v>27</v>
      </c>
      <c r="C5" s="3" t="s">
        <v>28</v>
      </c>
      <c r="D5" s="4">
        <v>6</v>
      </c>
      <c r="E5" s="4">
        <v>100</v>
      </c>
      <c r="F5" s="4" t="s">
        <v>18</v>
      </c>
      <c r="G5" s="3" t="s">
        <v>29</v>
      </c>
      <c r="H5" s="5">
        <v>0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6</v>
      </c>
      <c r="P5" s="3" t="s">
        <v>30</v>
      </c>
    </row>
    <row r="6" spans="1:16" ht="62" x14ac:dyDescent="0.35">
      <c r="A6">
        <v>5</v>
      </c>
      <c r="B6" t="s">
        <v>27</v>
      </c>
      <c r="C6" s="3" t="s">
        <v>31</v>
      </c>
      <c r="D6" s="4">
        <v>12</v>
      </c>
      <c r="E6" s="4">
        <v>95</v>
      </c>
      <c r="F6" s="4" t="s">
        <v>32</v>
      </c>
      <c r="G6" s="3" t="s">
        <v>19</v>
      </c>
      <c r="H6" s="5">
        <v>0</v>
      </c>
      <c r="I6" s="5">
        <v>0.9</v>
      </c>
      <c r="J6" s="5">
        <v>1.9</v>
      </c>
      <c r="K6" s="5">
        <v>9</v>
      </c>
      <c r="L6" s="5">
        <v>0</v>
      </c>
      <c r="M6" s="5">
        <v>0</v>
      </c>
      <c r="N6" s="5">
        <v>0</v>
      </c>
      <c r="O6" s="5">
        <v>11.8</v>
      </c>
      <c r="P6" s="3" t="s">
        <v>33</v>
      </c>
    </row>
    <row r="7" spans="1:16" ht="30" customHeight="1" x14ac:dyDescent="0.35">
      <c r="A7">
        <v>6</v>
      </c>
      <c r="B7" t="s">
        <v>27</v>
      </c>
      <c r="C7" s="3" t="s">
        <v>34</v>
      </c>
      <c r="D7" s="4">
        <v>0</v>
      </c>
      <c r="E7" s="4">
        <v>100</v>
      </c>
      <c r="F7" s="4" t="s">
        <v>18</v>
      </c>
      <c r="G7" s="3" t="s">
        <v>35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3" t="s">
        <v>36</v>
      </c>
    </row>
    <row r="8" spans="1:16" ht="30" customHeight="1" x14ac:dyDescent="0.35">
      <c r="A8">
        <v>7</v>
      </c>
      <c r="B8" t="s">
        <v>27</v>
      </c>
      <c r="C8" s="3" t="s">
        <v>37</v>
      </c>
      <c r="D8" s="4">
        <v>0</v>
      </c>
      <c r="E8" s="4">
        <v>100</v>
      </c>
      <c r="F8" s="4" t="s">
        <v>18</v>
      </c>
      <c r="G8" s="3" t="s">
        <v>35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3" t="s">
        <v>36</v>
      </c>
    </row>
    <row r="9" spans="1:16" ht="46.5" x14ac:dyDescent="0.35">
      <c r="A9">
        <v>8</v>
      </c>
      <c r="B9" t="s">
        <v>27</v>
      </c>
      <c r="C9" s="3" t="s">
        <v>38</v>
      </c>
      <c r="D9" s="4">
        <v>12</v>
      </c>
      <c r="E9" s="4">
        <v>95</v>
      </c>
      <c r="F9" s="4" t="s">
        <v>32</v>
      </c>
      <c r="G9" s="3" t="s">
        <v>19</v>
      </c>
      <c r="H9" s="5">
        <v>0</v>
      </c>
      <c r="I9" s="5">
        <v>3.5</v>
      </c>
      <c r="J9" s="5">
        <v>1.5</v>
      </c>
      <c r="K9" s="5">
        <v>6</v>
      </c>
      <c r="L9" s="5">
        <v>0</v>
      </c>
      <c r="M9" s="5">
        <v>0</v>
      </c>
      <c r="N9" s="5">
        <v>0</v>
      </c>
      <c r="O9" s="5">
        <v>11</v>
      </c>
      <c r="P9" s="3" t="s">
        <v>39</v>
      </c>
    </row>
    <row r="10" spans="1:16" ht="62" x14ac:dyDescent="0.35">
      <c r="A10">
        <v>9</v>
      </c>
      <c r="B10" t="s">
        <v>27</v>
      </c>
      <c r="C10" s="3" t="s">
        <v>40</v>
      </c>
      <c r="D10" s="4">
        <v>6</v>
      </c>
      <c r="E10" s="4">
        <v>95</v>
      </c>
      <c r="F10" s="4" t="s">
        <v>32</v>
      </c>
      <c r="G10" s="3" t="s">
        <v>19</v>
      </c>
      <c r="H10" s="5">
        <v>0</v>
      </c>
      <c r="I10" s="5">
        <v>3.7</v>
      </c>
      <c r="J10" s="5">
        <v>2.7</v>
      </c>
      <c r="K10" s="5">
        <v>2</v>
      </c>
      <c r="L10" s="5">
        <v>0</v>
      </c>
      <c r="M10" s="5">
        <v>0</v>
      </c>
      <c r="N10" s="5">
        <v>0</v>
      </c>
      <c r="O10" s="5">
        <v>8.4</v>
      </c>
      <c r="P10" s="3" t="s">
        <v>41</v>
      </c>
    </row>
    <row r="11" spans="1:16" ht="93" x14ac:dyDescent="0.35">
      <c r="A11">
        <v>10</v>
      </c>
      <c r="B11" t="s">
        <v>27</v>
      </c>
      <c r="C11" s="3" t="s">
        <v>42</v>
      </c>
      <c r="D11" s="4">
        <v>25</v>
      </c>
      <c r="E11" s="4">
        <v>95</v>
      </c>
      <c r="F11" s="4" t="s">
        <v>32</v>
      </c>
      <c r="G11" s="3" t="s">
        <v>19</v>
      </c>
      <c r="H11" s="5">
        <v>0</v>
      </c>
      <c r="I11" s="5">
        <v>23.4</v>
      </c>
      <c r="J11" s="5">
        <v>23.7</v>
      </c>
      <c r="K11" s="5">
        <v>10</v>
      </c>
      <c r="L11" s="5">
        <v>0</v>
      </c>
      <c r="M11" s="5">
        <v>0</v>
      </c>
      <c r="N11" s="5">
        <v>0</v>
      </c>
      <c r="O11" s="5">
        <f>SUM(H11:N11)</f>
        <v>57.099999999999994</v>
      </c>
      <c r="P11" s="3" t="s">
        <v>43</v>
      </c>
    </row>
    <row r="12" spans="1:16" ht="124" x14ac:dyDescent="0.35">
      <c r="A12">
        <v>11</v>
      </c>
      <c r="B12" t="s">
        <v>27</v>
      </c>
      <c r="C12" s="3" t="s">
        <v>44</v>
      </c>
      <c r="D12" s="4">
        <v>20</v>
      </c>
      <c r="E12" s="4">
        <v>95</v>
      </c>
      <c r="F12" s="4" t="s">
        <v>32</v>
      </c>
      <c r="G12" s="3" t="s">
        <v>19</v>
      </c>
      <c r="H12" s="5">
        <v>0</v>
      </c>
      <c r="I12" s="5">
        <v>7.1</v>
      </c>
      <c r="J12" s="5">
        <v>10.3</v>
      </c>
      <c r="K12" s="5">
        <v>10</v>
      </c>
      <c r="L12" s="5">
        <v>0</v>
      </c>
      <c r="M12" s="5">
        <v>0</v>
      </c>
      <c r="N12" s="5">
        <v>0</v>
      </c>
      <c r="O12" s="5">
        <f>SUM(H12:N12)</f>
        <v>27.4</v>
      </c>
      <c r="P12" s="3" t="s">
        <v>45</v>
      </c>
    </row>
    <row r="13" spans="1:16" ht="30" customHeight="1" x14ac:dyDescent="0.35">
      <c r="A13">
        <v>12</v>
      </c>
      <c r="B13" t="s">
        <v>27</v>
      </c>
      <c r="C13" s="3" t="s">
        <v>46</v>
      </c>
      <c r="D13" s="4">
        <v>4</v>
      </c>
      <c r="E13" s="4">
        <v>100</v>
      </c>
      <c r="F13" s="4" t="s">
        <v>18</v>
      </c>
      <c r="G13" s="3" t="s">
        <v>35</v>
      </c>
      <c r="H13" s="5">
        <v>0</v>
      </c>
      <c r="I13" s="5">
        <v>2</v>
      </c>
      <c r="J13" s="5">
        <v>1</v>
      </c>
      <c r="K13" s="5">
        <v>4</v>
      </c>
      <c r="L13" s="5">
        <v>0</v>
      </c>
      <c r="M13" s="5">
        <v>0</v>
      </c>
      <c r="N13" s="5">
        <v>0</v>
      </c>
      <c r="O13" s="5">
        <v>7</v>
      </c>
      <c r="P13" s="3" t="s">
        <v>47</v>
      </c>
    </row>
    <row r="14" spans="1:16" ht="62" x14ac:dyDescent="0.35">
      <c r="A14">
        <v>13</v>
      </c>
      <c r="B14" t="s">
        <v>27</v>
      </c>
      <c r="C14" s="3" t="s">
        <v>48</v>
      </c>
      <c r="D14" s="4">
        <v>1</v>
      </c>
      <c r="E14" s="4">
        <v>85</v>
      </c>
      <c r="F14" s="4" t="s">
        <v>32</v>
      </c>
      <c r="G14" s="3" t="s">
        <v>19</v>
      </c>
      <c r="H14" s="5">
        <v>0</v>
      </c>
      <c r="I14" s="5">
        <v>1.1000000000000001</v>
      </c>
      <c r="J14" s="5">
        <v>0.1</v>
      </c>
      <c r="K14" s="5">
        <v>1</v>
      </c>
      <c r="L14" s="5">
        <v>0</v>
      </c>
      <c r="M14" s="5">
        <v>0</v>
      </c>
      <c r="N14" s="5">
        <v>0</v>
      </c>
      <c r="O14" s="5">
        <v>2.2000000000000002</v>
      </c>
      <c r="P14" s="3" t="s">
        <v>49</v>
      </c>
    </row>
    <row r="15" spans="1:16" ht="30" customHeight="1" x14ac:dyDescent="0.35">
      <c r="A15">
        <v>14</v>
      </c>
      <c r="B15" t="s">
        <v>27</v>
      </c>
      <c r="C15" s="3" t="s">
        <v>50</v>
      </c>
      <c r="D15" s="4">
        <v>8</v>
      </c>
      <c r="E15" s="4">
        <v>100</v>
      </c>
      <c r="F15" s="4" t="s">
        <v>18</v>
      </c>
      <c r="G15" s="3" t="s">
        <v>51</v>
      </c>
      <c r="H15" s="5">
        <v>0</v>
      </c>
      <c r="I15" s="5">
        <v>2</v>
      </c>
      <c r="J15" s="5">
        <v>2</v>
      </c>
      <c r="K15" s="5">
        <v>8</v>
      </c>
      <c r="L15" s="5">
        <v>0</v>
      </c>
      <c r="M15" s="5">
        <v>0</v>
      </c>
      <c r="N15" s="5">
        <v>0</v>
      </c>
      <c r="O15" s="5">
        <v>12</v>
      </c>
      <c r="P15" s="3" t="s">
        <v>52</v>
      </c>
    </row>
    <row r="16" spans="1:16" ht="108.5" x14ac:dyDescent="0.35">
      <c r="A16">
        <v>15</v>
      </c>
      <c r="B16" t="s">
        <v>27</v>
      </c>
      <c r="C16" s="3" t="s">
        <v>53</v>
      </c>
      <c r="D16" s="4">
        <v>10</v>
      </c>
      <c r="E16" s="4">
        <v>95</v>
      </c>
      <c r="F16" s="4" t="s">
        <v>32</v>
      </c>
      <c r="G16" s="3" t="s">
        <v>19</v>
      </c>
      <c r="H16" s="5">
        <v>0</v>
      </c>
      <c r="I16" s="5">
        <v>3</v>
      </c>
      <c r="J16" s="5">
        <v>5.0999999999999996</v>
      </c>
      <c r="K16" s="5">
        <v>0</v>
      </c>
      <c r="L16" s="5">
        <v>0</v>
      </c>
      <c r="M16" s="5">
        <v>0</v>
      </c>
      <c r="N16" s="5">
        <v>0</v>
      </c>
      <c r="O16" s="5">
        <f t="shared" ref="O16:O26" si="0">SUM(H16:N16)</f>
        <v>8.1</v>
      </c>
      <c r="P16" s="3" t="s">
        <v>54</v>
      </c>
    </row>
    <row r="17" spans="1:16" ht="124" x14ac:dyDescent="0.35">
      <c r="A17">
        <v>16</v>
      </c>
      <c r="B17" t="s">
        <v>27</v>
      </c>
      <c r="C17" s="3" t="s">
        <v>55</v>
      </c>
      <c r="D17" s="4">
        <v>5</v>
      </c>
      <c r="E17" s="4">
        <v>90</v>
      </c>
      <c r="F17" s="4" t="s">
        <v>32</v>
      </c>
      <c r="G17" s="3" t="s">
        <v>19</v>
      </c>
      <c r="H17" s="5">
        <v>0</v>
      </c>
      <c r="I17" s="5">
        <v>4.3</v>
      </c>
      <c r="J17" s="5">
        <v>4.4000000000000004</v>
      </c>
      <c r="K17" s="5">
        <v>0</v>
      </c>
      <c r="L17" s="5">
        <v>0</v>
      </c>
      <c r="M17" s="5">
        <v>0</v>
      </c>
      <c r="N17" s="5">
        <v>0</v>
      </c>
      <c r="O17" s="5">
        <f t="shared" si="0"/>
        <v>8.6999999999999993</v>
      </c>
      <c r="P17" s="3" t="s">
        <v>56</v>
      </c>
    </row>
    <row r="18" spans="1:16" ht="124" x14ac:dyDescent="0.35">
      <c r="A18">
        <v>17</v>
      </c>
      <c r="B18" t="s">
        <v>57</v>
      </c>
      <c r="C18" s="3" t="s">
        <v>58</v>
      </c>
      <c r="D18" s="4">
        <v>28</v>
      </c>
      <c r="E18" s="4">
        <v>100</v>
      </c>
      <c r="F18" s="4" t="s">
        <v>18</v>
      </c>
      <c r="G18" s="3" t="s">
        <v>19</v>
      </c>
      <c r="H18" s="5">
        <v>0</v>
      </c>
      <c r="I18" s="5">
        <v>4.9000000000000004</v>
      </c>
      <c r="J18" s="5">
        <v>11.1</v>
      </c>
      <c r="K18" s="5">
        <v>10</v>
      </c>
      <c r="L18" s="5">
        <v>0</v>
      </c>
      <c r="M18" s="5">
        <v>0</v>
      </c>
      <c r="N18" s="5">
        <v>0</v>
      </c>
      <c r="O18" s="5">
        <f t="shared" si="0"/>
        <v>26</v>
      </c>
      <c r="P18" s="3" t="s">
        <v>59</v>
      </c>
    </row>
    <row r="19" spans="1:16" ht="108.5" x14ac:dyDescent="0.35">
      <c r="A19">
        <v>18</v>
      </c>
      <c r="B19" t="s">
        <v>57</v>
      </c>
      <c r="C19" s="3" t="s">
        <v>60</v>
      </c>
      <c r="D19" s="4">
        <v>12</v>
      </c>
      <c r="E19" s="4">
        <v>100</v>
      </c>
      <c r="F19" s="4" t="s">
        <v>18</v>
      </c>
      <c r="G19" s="3" t="s">
        <v>19</v>
      </c>
      <c r="H19" s="5">
        <v>0</v>
      </c>
      <c r="I19" s="5">
        <v>4.5</v>
      </c>
      <c r="J19" s="5">
        <v>8.6999999999999993</v>
      </c>
      <c r="K19" s="5">
        <v>2</v>
      </c>
      <c r="L19" s="5">
        <v>0</v>
      </c>
      <c r="M19" s="5">
        <v>0</v>
      </c>
      <c r="N19" s="5">
        <v>0</v>
      </c>
      <c r="O19" s="5">
        <f t="shared" si="0"/>
        <v>15.2</v>
      </c>
      <c r="P19" s="3" t="s">
        <v>61</v>
      </c>
    </row>
    <row r="20" spans="1:16" ht="124" x14ac:dyDescent="0.35">
      <c r="A20">
        <v>19</v>
      </c>
      <c r="B20" t="s">
        <v>57</v>
      </c>
      <c r="C20" s="3" t="s">
        <v>62</v>
      </c>
      <c r="D20" s="4">
        <v>13</v>
      </c>
      <c r="E20" s="4">
        <v>85</v>
      </c>
      <c r="F20" s="4" t="s">
        <v>32</v>
      </c>
      <c r="G20" s="3" t="s">
        <v>19</v>
      </c>
      <c r="H20" s="5">
        <v>0</v>
      </c>
      <c r="I20" s="5">
        <v>4</v>
      </c>
      <c r="J20" s="5">
        <v>8.3000000000000007</v>
      </c>
      <c r="K20" s="5">
        <v>0</v>
      </c>
      <c r="L20" s="5">
        <v>0</v>
      </c>
      <c r="M20" s="5">
        <v>0</v>
      </c>
      <c r="N20" s="5">
        <v>0</v>
      </c>
      <c r="O20" s="5">
        <f t="shared" si="0"/>
        <v>12.3</v>
      </c>
      <c r="P20" s="3" t="s">
        <v>63</v>
      </c>
    </row>
    <row r="21" spans="1:16" ht="124" x14ac:dyDescent="0.35">
      <c r="A21">
        <v>20</v>
      </c>
      <c r="B21" t="s">
        <v>57</v>
      </c>
      <c r="C21" s="3" t="s">
        <v>64</v>
      </c>
      <c r="D21" s="4">
        <v>17</v>
      </c>
      <c r="E21" s="4">
        <v>95</v>
      </c>
      <c r="F21" s="4" t="s">
        <v>32</v>
      </c>
      <c r="G21" s="3" t="s">
        <v>19</v>
      </c>
      <c r="H21" s="5">
        <v>0</v>
      </c>
      <c r="I21" s="5">
        <v>13</v>
      </c>
      <c r="J21" s="5">
        <v>9.1</v>
      </c>
      <c r="K21" s="5">
        <v>0</v>
      </c>
      <c r="L21" s="5">
        <v>0</v>
      </c>
      <c r="M21" s="5">
        <v>0</v>
      </c>
      <c r="N21" s="5">
        <v>0</v>
      </c>
      <c r="O21" s="5">
        <f t="shared" si="0"/>
        <v>22.1</v>
      </c>
      <c r="P21" s="3" t="s">
        <v>65</v>
      </c>
    </row>
    <row r="22" spans="1:16" ht="139.5" x14ac:dyDescent="0.35">
      <c r="A22">
        <v>21</v>
      </c>
      <c r="B22" t="s">
        <v>57</v>
      </c>
      <c r="C22" s="3" t="s">
        <v>66</v>
      </c>
      <c r="D22" s="4">
        <v>70</v>
      </c>
      <c r="E22" s="4">
        <v>80</v>
      </c>
      <c r="F22" s="4" t="s">
        <v>32</v>
      </c>
      <c r="G22" s="3" t="s">
        <v>19</v>
      </c>
      <c r="H22" s="5">
        <v>0</v>
      </c>
      <c r="I22" s="5">
        <v>29.9</v>
      </c>
      <c r="J22" s="5">
        <v>27.1</v>
      </c>
      <c r="K22" s="5">
        <v>0</v>
      </c>
      <c r="L22" s="5">
        <v>0</v>
      </c>
      <c r="M22" s="5">
        <v>0</v>
      </c>
      <c r="N22" s="5">
        <v>0</v>
      </c>
      <c r="O22" s="5">
        <f t="shared" si="0"/>
        <v>57</v>
      </c>
      <c r="P22" s="3" t="s">
        <v>67</v>
      </c>
    </row>
    <row r="23" spans="1:16" ht="139.5" x14ac:dyDescent="0.35">
      <c r="A23">
        <v>22</v>
      </c>
      <c r="B23" t="s">
        <v>57</v>
      </c>
      <c r="C23" s="3" t="s">
        <v>68</v>
      </c>
      <c r="D23" s="4">
        <v>124</v>
      </c>
      <c r="E23" s="4">
        <v>95</v>
      </c>
      <c r="F23" s="4" t="s">
        <v>32</v>
      </c>
      <c r="G23" s="3" t="s">
        <v>19</v>
      </c>
      <c r="H23" s="5">
        <v>0</v>
      </c>
      <c r="I23" s="5">
        <v>119.9</v>
      </c>
      <c r="J23" s="5">
        <v>59.9</v>
      </c>
      <c r="K23" s="5">
        <v>0</v>
      </c>
      <c r="L23" s="5">
        <v>0</v>
      </c>
      <c r="M23" s="5">
        <v>0</v>
      </c>
      <c r="N23" s="5">
        <v>0</v>
      </c>
      <c r="O23" s="5">
        <f t="shared" si="0"/>
        <v>179.8</v>
      </c>
      <c r="P23" s="3" t="s">
        <v>69</v>
      </c>
    </row>
    <row r="24" spans="1:16" ht="124" x14ac:dyDescent="0.35">
      <c r="A24">
        <v>23</v>
      </c>
      <c r="B24" t="s">
        <v>57</v>
      </c>
      <c r="C24" s="3" t="s">
        <v>70</v>
      </c>
      <c r="D24" s="4">
        <v>142</v>
      </c>
      <c r="E24" s="4">
        <v>50</v>
      </c>
      <c r="F24" s="4" t="s">
        <v>32</v>
      </c>
      <c r="G24" s="3" t="s">
        <v>19</v>
      </c>
      <c r="H24" s="5">
        <v>0</v>
      </c>
      <c r="I24" s="5">
        <v>33.299999999999997</v>
      </c>
      <c r="J24" s="5">
        <v>36.4</v>
      </c>
      <c r="K24" s="5">
        <v>0</v>
      </c>
      <c r="L24" s="5">
        <v>0</v>
      </c>
      <c r="M24" s="5">
        <v>0</v>
      </c>
      <c r="N24" s="5">
        <v>0</v>
      </c>
      <c r="O24" s="5">
        <f t="shared" si="0"/>
        <v>69.699999999999989</v>
      </c>
      <c r="P24" s="3" t="s">
        <v>71</v>
      </c>
    </row>
    <row r="25" spans="1:16" ht="124" x14ac:dyDescent="0.35">
      <c r="A25">
        <v>24</v>
      </c>
      <c r="B25" t="s">
        <v>57</v>
      </c>
      <c r="C25" s="3" t="s">
        <v>72</v>
      </c>
      <c r="D25" s="4">
        <v>142</v>
      </c>
      <c r="E25" s="4">
        <v>90</v>
      </c>
      <c r="F25" s="4" t="s">
        <v>32</v>
      </c>
      <c r="G25" s="3" t="s">
        <v>19</v>
      </c>
      <c r="H25" s="5">
        <v>0</v>
      </c>
      <c r="I25" s="5">
        <v>58.8</v>
      </c>
      <c r="J25" s="5">
        <v>67.5</v>
      </c>
      <c r="K25" s="5">
        <v>0</v>
      </c>
      <c r="L25" s="5">
        <v>0</v>
      </c>
      <c r="M25" s="5">
        <v>0</v>
      </c>
      <c r="N25" s="5">
        <v>0</v>
      </c>
      <c r="O25" s="5">
        <f t="shared" si="0"/>
        <v>126.3</v>
      </c>
      <c r="P25" s="3" t="s">
        <v>73</v>
      </c>
    </row>
    <row r="26" spans="1:16" ht="124" x14ac:dyDescent="0.35">
      <c r="A26">
        <v>25</v>
      </c>
      <c r="B26" t="s">
        <v>57</v>
      </c>
      <c r="C26" s="3" t="s">
        <v>74</v>
      </c>
      <c r="D26" s="4">
        <v>40</v>
      </c>
      <c r="E26" s="4">
        <v>85</v>
      </c>
      <c r="F26" s="4" t="s">
        <v>32</v>
      </c>
      <c r="G26" s="3" t="s">
        <v>19</v>
      </c>
      <c r="H26" s="5">
        <v>0</v>
      </c>
      <c r="I26" s="5">
        <v>16.7</v>
      </c>
      <c r="J26" s="5">
        <v>15.9</v>
      </c>
      <c r="K26" s="5">
        <v>0</v>
      </c>
      <c r="L26" s="5">
        <v>0</v>
      </c>
      <c r="M26" s="5">
        <v>0</v>
      </c>
      <c r="N26" s="5">
        <v>0</v>
      </c>
      <c r="O26" s="5">
        <f t="shared" si="0"/>
        <v>32.6</v>
      </c>
      <c r="P26" s="3" t="s">
        <v>75</v>
      </c>
    </row>
    <row r="27" spans="1:16" ht="31" x14ac:dyDescent="0.35">
      <c r="A27">
        <v>26</v>
      </c>
      <c r="B27" t="s">
        <v>57</v>
      </c>
      <c r="C27" s="3" t="s">
        <v>76</v>
      </c>
      <c r="D27" s="4">
        <v>66</v>
      </c>
      <c r="E27" s="4">
        <v>15</v>
      </c>
      <c r="F27" s="4" t="s">
        <v>32</v>
      </c>
      <c r="G27" s="3" t="s">
        <v>77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3" t="s">
        <v>30</v>
      </c>
    </row>
    <row r="28" spans="1:16" ht="31" x14ac:dyDescent="0.35">
      <c r="A28">
        <v>27</v>
      </c>
      <c r="B28" t="s">
        <v>57</v>
      </c>
      <c r="C28" s="3" t="s">
        <v>78</v>
      </c>
      <c r="D28" s="4">
        <v>76</v>
      </c>
      <c r="E28" s="4">
        <v>20</v>
      </c>
      <c r="F28" s="4" t="s">
        <v>32</v>
      </c>
      <c r="G28" s="3" t="s">
        <v>79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3" t="s">
        <v>30</v>
      </c>
    </row>
    <row r="29" spans="1:16" ht="108.5" x14ac:dyDescent="0.35">
      <c r="A29">
        <v>28</v>
      </c>
      <c r="B29" t="s">
        <v>57</v>
      </c>
      <c r="C29" s="3" t="s">
        <v>80</v>
      </c>
      <c r="D29" s="4">
        <v>51</v>
      </c>
      <c r="E29" s="4">
        <v>95</v>
      </c>
      <c r="F29" s="4" t="s">
        <v>32</v>
      </c>
      <c r="G29" s="3" t="s">
        <v>19</v>
      </c>
      <c r="H29" s="5">
        <v>0</v>
      </c>
      <c r="I29" s="5">
        <v>10</v>
      </c>
      <c r="J29" s="5">
        <v>13.9</v>
      </c>
      <c r="K29" s="5">
        <v>0</v>
      </c>
      <c r="L29" s="5">
        <v>0</v>
      </c>
      <c r="M29" s="5">
        <v>0</v>
      </c>
      <c r="N29" s="5">
        <v>0</v>
      </c>
      <c r="O29" s="5">
        <f>SUM(H29:N29)</f>
        <v>23.9</v>
      </c>
      <c r="P29" s="3" t="s">
        <v>81</v>
      </c>
    </row>
    <row r="30" spans="1:16" ht="108.5" x14ac:dyDescent="0.35">
      <c r="A30">
        <v>29</v>
      </c>
      <c r="B30" t="s">
        <v>82</v>
      </c>
      <c r="C30" s="3" t="s">
        <v>83</v>
      </c>
      <c r="D30" s="4">
        <v>17</v>
      </c>
      <c r="E30" s="4">
        <v>90</v>
      </c>
      <c r="F30" s="4" t="s">
        <v>32</v>
      </c>
      <c r="G30" s="3" t="s">
        <v>19</v>
      </c>
      <c r="H30" s="5">
        <v>0</v>
      </c>
      <c r="I30" s="5">
        <v>6.9</v>
      </c>
      <c r="J30" s="5">
        <v>12.5</v>
      </c>
      <c r="K30" s="5">
        <v>0</v>
      </c>
      <c r="L30" s="5">
        <v>0</v>
      </c>
      <c r="M30" s="5">
        <v>0</v>
      </c>
      <c r="N30" s="5">
        <v>0</v>
      </c>
      <c r="O30" s="5">
        <f>SUM(H30:N30)</f>
        <v>19.399999999999999</v>
      </c>
      <c r="P30" s="3" t="s">
        <v>84</v>
      </c>
    </row>
    <row r="31" spans="1:16" ht="31" x14ac:dyDescent="0.35">
      <c r="A31">
        <v>30</v>
      </c>
      <c r="B31" t="s">
        <v>82</v>
      </c>
      <c r="C31" s="3" t="s">
        <v>85</v>
      </c>
      <c r="D31" s="4">
        <v>16</v>
      </c>
      <c r="E31" s="4">
        <v>0</v>
      </c>
      <c r="F31" s="4" t="s">
        <v>86</v>
      </c>
      <c r="G31" s="3" t="s">
        <v>87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3" t="s">
        <v>30</v>
      </c>
    </row>
    <row r="32" spans="1:16" ht="31" x14ac:dyDescent="0.35">
      <c r="A32">
        <v>31</v>
      </c>
      <c r="B32" t="s">
        <v>82</v>
      </c>
      <c r="C32" s="3" t="s">
        <v>88</v>
      </c>
      <c r="D32" s="4">
        <v>26</v>
      </c>
      <c r="E32" s="4">
        <v>0</v>
      </c>
      <c r="F32" s="4" t="s">
        <v>86</v>
      </c>
      <c r="G32" s="3" t="s">
        <v>89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3" t="s">
        <v>30</v>
      </c>
    </row>
    <row r="33" spans="1:16" ht="31" x14ac:dyDescent="0.35">
      <c r="A33">
        <v>32</v>
      </c>
      <c r="B33" t="s">
        <v>82</v>
      </c>
      <c r="C33" s="3" t="s">
        <v>90</v>
      </c>
      <c r="D33" s="4">
        <v>8</v>
      </c>
      <c r="E33" s="4">
        <v>0</v>
      </c>
      <c r="F33" s="4" t="s">
        <v>86</v>
      </c>
      <c r="G33" s="3" t="s">
        <v>87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3" t="s">
        <v>30</v>
      </c>
    </row>
    <row r="34" spans="1:16" ht="62" x14ac:dyDescent="0.35">
      <c r="A34">
        <v>33</v>
      </c>
      <c r="B34" t="s">
        <v>91</v>
      </c>
      <c r="C34" s="3" t="s">
        <v>92</v>
      </c>
      <c r="D34" s="4">
        <v>25</v>
      </c>
      <c r="E34" s="4">
        <v>20</v>
      </c>
      <c r="F34" s="4" t="s">
        <v>32</v>
      </c>
      <c r="G34" s="3" t="s">
        <v>19</v>
      </c>
      <c r="H34" s="5">
        <v>0</v>
      </c>
      <c r="I34" s="5">
        <v>2.1</v>
      </c>
      <c r="J34" s="5">
        <v>2.9</v>
      </c>
      <c r="K34" s="5">
        <v>0</v>
      </c>
      <c r="L34" s="5">
        <v>0</v>
      </c>
      <c r="M34" s="5">
        <v>0</v>
      </c>
      <c r="N34" s="5">
        <v>0</v>
      </c>
      <c r="O34" s="5">
        <f>SUM(H34:N34)</f>
        <v>5</v>
      </c>
      <c r="P34" s="3" t="s">
        <v>93</v>
      </c>
    </row>
    <row r="35" spans="1:16" ht="30" customHeight="1" x14ac:dyDescent="0.35">
      <c r="A35">
        <v>34</v>
      </c>
      <c r="B35" t="s">
        <v>91</v>
      </c>
      <c r="C35" s="3" t="s">
        <v>94</v>
      </c>
      <c r="D35" s="4">
        <v>0</v>
      </c>
      <c r="E35" s="4">
        <v>100</v>
      </c>
      <c r="F35" s="4" t="s">
        <v>18</v>
      </c>
      <c r="G35" s="3" t="s">
        <v>51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3" t="s">
        <v>36</v>
      </c>
    </row>
    <row r="36" spans="1:16" ht="15.5" x14ac:dyDescent="0.35">
      <c r="A36">
        <v>35</v>
      </c>
      <c r="B36" t="s">
        <v>91</v>
      </c>
      <c r="C36" s="3" t="s">
        <v>95</v>
      </c>
      <c r="D36" s="4">
        <v>20</v>
      </c>
      <c r="E36" s="4">
        <v>0</v>
      </c>
      <c r="F36" s="4" t="s">
        <v>86</v>
      </c>
      <c r="G36" s="3" t="s">
        <v>96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3" t="s">
        <v>30</v>
      </c>
    </row>
    <row r="37" spans="1:16" ht="15.5" x14ac:dyDescent="0.35">
      <c r="A37">
        <v>36</v>
      </c>
      <c r="B37" t="s">
        <v>91</v>
      </c>
      <c r="C37" s="3" t="s">
        <v>97</v>
      </c>
      <c r="D37" s="4">
        <v>18</v>
      </c>
      <c r="E37" s="4">
        <v>0</v>
      </c>
      <c r="F37" s="4" t="s">
        <v>86</v>
      </c>
      <c r="G37" s="3" t="s">
        <v>98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3" t="s">
        <v>30</v>
      </c>
    </row>
    <row r="38" spans="1:16" ht="15.5" x14ac:dyDescent="0.35">
      <c r="A38">
        <v>37</v>
      </c>
      <c r="B38" t="s">
        <v>99</v>
      </c>
      <c r="C38" s="3" t="s">
        <v>100</v>
      </c>
      <c r="D38" s="4">
        <v>14</v>
      </c>
      <c r="E38" s="4">
        <v>20</v>
      </c>
      <c r="F38" s="4" t="s">
        <v>32</v>
      </c>
      <c r="G38" s="3" t="s">
        <v>22</v>
      </c>
      <c r="H38" s="5">
        <v>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3</v>
      </c>
      <c r="P38" s="3" t="s">
        <v>30</v>
      </c>
    </row>
    <row r="39" spans="1:16" ht="15.5" x14ac:dyDescent="0.35">
      <c r="A39">
        <v>38</v>
      </c>
      <c r="B39" t="s">
        <v>99</v>
      </c>
      <c r="C39" s="3" t="s">
        <v>101</v>
      </c>
      <c r="D39" s="4">
        <v>8</v>
      </c>
      <c r="E39" s="4">
        <v>0</v>
      </c>
      <c r="F39" s="4" t="s">
        <v>86</v>
      </c>
      <c r="G39" s="3" t="s">
        <v>102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3" t="s">
        <v>30</v>
      </c>
    </row>
    <row r="40" spans="1:16" ht="15.5" x14ac:dyDescent="0.35">
      <c r="A40">
        <v>39</v>
      </c>
      <c r="B40" t="s">
        <v>99</v>
      </c>
      <c r="C40" s="3" t="s">
        <v>103</v>
      </c>
      <c r="D40" s="4">
        <v>32</v>
      </c>
      <c r="E40" s="4">
        <v>0</v>
      </c>
      <c r="F40" s="4" t="s">
        <v>86</v>
      </c>
      <c r="G40" s="3" t="s">
        <v>104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3" t="s">
        <v>30</v>
      </c>
    </row>
    <row r="41" spans="1:16" ht="15.5" x14ac:dyDescent="0.35">
      <c r="A41">
        <v>40</v>
      </c>
      <c r="B41" t="s">
        <v>99</v>
      </c>
      <c r="C41" s="3" t="s">
        <v>105</v>
      </c>
      <c r="D41" s="4">
        <v>12</v>
      </c>
      <c r="E41" s="4">
        <v>0</v>
      </c>
      <c r="F41" s="4" t="s">
        <v>86</v>
      </c>
      <c r="G41" s="3" t="s">
        <v>106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3" t="s">
        <v>30</v>
      </c>
    </row>
    <row r="42" spans="1:16" ht="15.5" x14ac:dyDescent="0.35">
      <c r="A42">
        <v>41</v>
      </c>
      <c r="B42" t="s">
        <v>99</v>
      </c>
      <c r="C42" s="3" t="s">
        <v>107</v>
      </c>
      <c r="D42" s="4">
        <v>14</v>
      </c>
      <c r="E42" s="4">
        <v>0</v>
      </c>
      <c r="F42" s="4" t="s">
        <v>86</v>
      </c>
      <c r="G42" s="3" t="s">
        <v>108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3" t="s">
        <v>30</v>
      </c>
    </row>
    <row r="43" spans="1:16" ht="15.5" x14ac:dyDescent="0.35">
      <c r="A43">
        <v>42</v>
      </c>
      <c r="B43" t="s">
        <v>99</v>
      </c>
      <c r="C43" s="3" t="s">
        <v>109</v>
      </c>
      <c r="D43" s="4">
        <v>20</v>
      </c>
      <c r="E43" s="4">
        <v>0</v>
      </c>
      <c r="F43" s="4" t="s">
        <v>86</v>
      </c>
      <c r="G43" s="3" t="s">
        <v>104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3" t="s">
        <v>30</v>
      </c>
    </row>
    <row r="44" spans="1:16" ht="15.5" x14ac:dyDescent="0.35">
      <c r="A44">
        <v>43</v>
      </c>
      <c r="B44" t="s">
        <v>99</v>
      </c>
      <c r="C44" s="3" t="s">
        <v>110</v>
      </c>
      <c r="D44" s="4">
        <v>16</v>
      </c>
      <c r="E44" s="4">
        <v>0</v>
      </c>
      <c r="F44" s="4" t="s">
        <v>86</v>
      </c>
      <c r="G44" s="3" t="s">
        <v>111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3" t="s">
        <v>30</v>
      </c>
    </row>
    <row r="45" spans="1:16" ht="15.5" x14ac:dyDescent="0.35">
      <c r="A45">
        <v>44</v>
      </c>
      <c r="B45" t="s">
        <v>99</v>
      </c>
      <c r="C45" s="3" t="s">
        <v>112</v>
      </c>
      <c r="D45" s="4">
        <v>6</v>
      </c>
      <c r="E45" s="4">
        <v>0</v>
      </c>
      <c r="F45" s="4" t="s">
        <v>86</v>
      </c>
      <c r="G45" s="3" t="s">
        <v>108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3" t="s">
        <v>30</v>
      </c>
    </row>
  </sheetData>
  <pageMargins left="0.7" right="0.7" top="0.75" bottom="0.75" header="0.3" footer="0.3"/>
  <ignoredErrors>
    <ignoredError sqref="A1:P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RowHeight="14.5" x14ac:dyDescent="0.35"/>
  <cols>
    <col min="1" max="1" width="24.83203125" customWidth="1"/>
    <col min="2" max="2" width="8.83203125" customWidth="1"/>
    <col min="3" max="3" width="12.83203125" customWidth="1"/>
    <col min="4" max="4" width="11.83203125" customWidth="1"/>
    <col min="5" max="5" width="13.83203125" customWidth="1"/>
    <col min="6" max="6" width="10.83203125" customWidth="1"/>
  </cols>
  <sheetData>
    <row r="1" spans="1:6" ht="15.5" x14ac:dyDescent="0.35">
      <c r="A1" t="s">
        <v>1</v>
      </c>
      <c r="B1" t="s">
        <v>113</v>
      </c>
      <c r="C1" t="s">
        <v>114</v>
      </c>
      <c r="D1" t="s">
        <v>3</v>
      </c>
      <c r="E1" t="s">
        <v>115</v>
      </c>
      <c r="F1" t="s">
        <v>4</v>
      </c>
    </row>
    <row r="2" spans="1:6" ht="15.5" x14ac:dyDescent="0.35">
      <c r="A2" t="s">
        <v>16</v>
      </c>
      <c r="B2">
        <v>3</v>
      </c>
      <c r="C2">
        <v>3</v>
      </c>
      <c r="D2" s="1">
        <v>36</v>
      </c>
      <c r="E2" s="1">
        <v>79</v>
      </c>
      <c r="F2" s="1">
        <v>100</v>
      </c>
    </row>
    <row r="3" spans="1:6" ht="15.5" x14ac:dyDescent="0.35">
      <c r="A3" t="s">
        <v>27</v>
      </c>
      <c r="B3">
        <v>13</v>
      </c>
      <c r="C3">
        <v>5</v>
      </c>
      <c r="D3" s="1">
        <v>109</v>
      </c>
      <c r="E3" s="1">
        <v>159.69999999999999</v>
      </c>
      <c r="F3" s="1">
        <v>95.5</v>
      </c>
    </row>
    <row r="4" spans="1:6" ht="15.5" x14ac:dyDescent="0.35">
      <c r="A4" t="s">
        <v>57</v>
      </c>
      <c r="B4">
        <v>12</v>
      </c>
      <c r="C4">
        <v>2</v>
      </c>
      <c r="D4" s="1">
        <v>781</v>
      </c>
      <c r="E4" s="1">
        <v>564.9</v>
      </c>
      <c r="F4" s="1">
        <v>70.099999999999994</v>
      </c>
    </row>
    <row r="5" spans="1:6" ht="15.5" x14ac:dyDescent="0.35">
      <c r="A5" t="s">
        <v>82</v>
      </c>
      <c r="B5">
        <v>4</v>
      </c>
      <c r="C5">
        <v>0</v>
      </c>
      <c r="D5" s="1">
        <v>67</v>
      </c>
      <c r="E5" s="1">
        <v>19.399999999999999</v>
      </c>
      <c r="F5" s="1">
        <v>22.8</v>
      </c>
    </row>
    <row r="6" spans="1:6" ht="15.5" x14ac:dyDescent="0.35">
      <c r="A6" t="s">
        <v>91</v>
      </c>
      <c r="B6">
        <v>4</v>
      </c>
      <c r="C6">
        <v>1</v>
      </c>
      <c r="D6" s="1">
        <v>63</v>
      </c>
      <c r="E6" s="1">
        <v>5</v>
      </c>
      <c r="F6" s="1">
        <v>7.9</v>
      </c>
    </row>
    <row r="7" spans="1:6" ht="15.5" x14ac:dyDescent="0.35">
      <c r="A7" t="s">
        <v>99</v>
      </c>
      <c r="B7">
        <v>8</v>
      </c>
      <c r="C7">
        <v>0</v>
      </c>
      <c r="D7" s="1">
        <v>122</v>
      </c>
      <c r="E7" s="1">
        <v>3</v>
      </c>
      <c r="F7" s="1">
        <v>2.2999999999999998</v>
      </c>
    </row>
  </sheetData>
  <pageMargins left="0.7" right="0.7" top="0.75" bottom="0.75" header="0.3" footer="0.3"/>
  <ignoredErrors>
    <ignoredError sqref="A1:F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RowHeight="14.5" x14ac:dyDescent="0.35"/>
  <cols>
    <col min="1" max="1" width="20.83203125" customWidth="1"/>
    <col min="2" max="2" width="6.83203125" customWidth="1"/>
    <col min="3" max="3" width="12.83203125" customWidth="1"/>
    <col min="4" max="4" width="16.83203125" customWidth="1"/>
    <col min="5" max="5" width="13.83203125" customWidth="1"/>
  </cols>
  <sheetData>
    <row r="1" spans="1:5" ht="15.5" x14ac:dyDescent="0.35">
      <c r="A1" t="s">
        <v>116</v>
      </c>
      <c r="B1" t="s">
        <v>117</v>
      </c>
      <c r="C1" t="s">
        <v>118</v>
      </c>
      <c r="D1" t="s">
        <v>119</v>
      </c>
      <c r="E1" t="s">
        <v>115</v>
      </c>
    </row>
    <row r="2" spans="1:5" ht="15.5" x14ac:dyDescent="0.35">
      <c r="A2" t="s">
        <v>120</v>
      </c>
      <c r="B2" t="s">
        <v>121</v>
      </c>
      <c r="C2" t="s">
        <v>122</v>
      </c>
      <c r="D2">
        <v>17</v>
      </c>
      <c r="E2" s="1">
        <v>7</v>
      </c>
    </row>
    <row r="3" spans="1:5" ht="15.5" x14ac:dyDescent="0.35">
      <c r="A3" t="s">
        <v>29</v>
      </c>
      <c r="B3" t="s">
        <v>121</v>
      </c>
      <c r="C3" t="s">
        <v>123</v>
      </c>
      <c r="D3">
        <v>33</v>
      </c>
      <c r="E3" s="1">
        <v>407</v>
      </c>
    </row>
    <row r="4" spans="1:5" ht="15.5" x14ac:dyDescent="0.35">
      <c r="A4" t="s">
        <v>124</v>
      </c>
      <c r="B4" t="s">
        <v>121</v>
      </c>
      <c r="C4" t="s">
        <v>125</v>
      </c>
      <c r="D4">
        <v>23</v>
      </c>
      <c r="E4" s="1">
        <v>342</v>
      </c>
    </row>
    <row r="5" spans="1:5" ht="15.5" x14ac:dyDescent="0.35">
      <c r="A5" t="s">
        <v>35</v>
      </c>
      <c r="B5" t="s">
        <v>126</v>
      </c>
      <c r="C5" t="s">
        <v>127</v>
      </c>
      <c r="D5">
        <v>9</v>
      </c>
      <c r="E5" s="1">
        <v>62</v>
      </c>
    </row>
    <row r="6" spans="1:5" ht="15.5" x14ac:dyDescent="0.35">
      <c r="A6" t="s">
        <v>128</v>
      </c>
      <c r="B6" t="s">
        <v>129</v>
      </c>
      <c r="C6" t="s">
        <v>127</v>
      </c>
      <c r="D6">
        <v>8</v>
      </c>
      <c r="E6" s="1">
        <v>9</v>
      </c>
    </row>
    <row r="7" spans="1:5" ht="15.5" x14ac:dyDescent="0.35">
      <c r="A7" t="s">
        <v>130</v>
      </c>
      <c r="B7" t="s">
        <v>131</v>
      </c>
      <c r="C7" t="s">
        <v>132</v>
      </c>
      <c r="D7">
        <v>3</v>
      </c>
      <c r="E7" s="1">
        <v>4</v>
      </c>
    </row>
    <row r="8" spans="1:5" ht="15.5" x14ac:dyDescent="0.35">
      <c r="A8" t="s">
        <v>133</v>
      </c>
      <c r="B8" t="s">
        <v>134</v>
      </c>
      <c r="C8" t="s">
        <v>135</v>
      </c>
      <c r="D8">
        <v>3</v>
      </c>
      <c r="E8" s="1">
        <v>0</v>
      </c>
    </row>
  </sheetData>
  <pageMargins left="0.7" right="0.7" top="0.75" bottom="0.75" header="0.3" footer="0.3"/>
  <ignoredErrors>
    <ignoredError sqref="A1:E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/>
  </sheetViews>
  <sheetFormatPr baseColWidth="10" defaultRowHeight="14.5" x14ac:dyDescent="0.35"/>
  <cols>
    <col min="1" max="2" width="15" customWidth="1"/>
    <col min="3" max="8" width="16" customWidth="1"/>
    <col min="9" max="9" width="28" customWidth="1"/>
    <col min="10" max="10" width="14" customWidth="1"/>
    <col min="11" max="11" width="72" customWidth="1"/>
  </cols>
  <sheetData>
    <row r="1" spans="1:11" ht="32" customHeight="1" x14ac:dyDescent="0.35">
      <c r="A1" t="s">
        <v>136</v>
      </c>
      <c r="B1" t="s">
        <v>137</v>
      </c>
      <c r="C1" t="s">
        <v>16</v>
      </c>
      <c r="D1" t="s">
        <v>27</v>
      </c>
      <c r="E1" t="s">
        <v>57</v>
      </c>
      <c r="F1" t="s">
        <v>82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</row>
    <row r="2" spans="1:11" ht="77.5" x14ac:dyDescent="0.35">
      <c r="A2" s="6">
        <v>46238</v>
      </c>
      <c r="B2" s="7">
        <v>0.312</v>
      </c>
      <c r="C2" s="7">
        <v>1</v>
      </c>
      <c r="D2" s="7">
        <v>0.78900000000000003</v>
      </c>
      <c r="E2" s="7">
        <v>0.30399999999999999</v>
      </c>
      <c r="F2" s="7">
        <v>8.8999999999999996E-2</v>
      </c>
      <c r="G2" s="7">
        <v>0</v>
      </c>
      <c r="H2" s="7">
        <v>2.3E-2</v>
      </c>
      <c r="I2" s="4" t="s">
        <v>143</v>
      </c>
      <c r="J2" s="4" t="s">
        <v>144</v>
      </c>
      <c r="K2" s="3" t="s">
        <v>145</v>
      </c>
    </row>
    <row r="3" spans="1:11" ht="155" x14ac:dyDescent="0.35">
      <c r="A3" s="6">
        <v>46247.75</v>
      </c>
      <c r="B3" s="7">
        <v>0.45399999999999996</v>
      </c>
      <c r="C3" s="7">
        <v>1</v>
      </c>
      <c r="D3" s="7">
        <v>0.92799999999999994</v>
      </c>
      <c r="E3" s="7">
        <v>0.49099999999999999</v>
      </c>
      <c r="F3" s="7">
        <v>0.17800000000000002</v>
      </c>
      <c r="G3" s="7">
        <v>0</v>
      </c>
      <c r="H3" s="7">
        <v>2.3E-2</v>
      </c>
      <c r="I3" s="4" t="s">
        <v>143</v>
      </c>
      <c r="J3" s="4" t="s">
        <v>146</v>
      </c>
      <c r="K3" s="3" t="s">
        <v>147</v>
      </c>
    </row>
    <row r="4" spans="1:11" ht="139.5" x14ac:dyDescent="0.35">
      <c r="A4" s="6">
        <v>46261</v>
      </c>
      <c r="B4" s="7">
        <v>0.60299999999999998</v>
      </c>
      <c r="C4" s="7">
        <v>1</v>
      </c>
      <c r="D4" s="7">
        <v>0.95499999999999996</v>
      </c>
      <c r="E4" s="7">
        <v>0.70099999999999996</v>
      </c>
      <c r="F4" s="7">
        <v>0.22800000000000001</v>
      </c>
      <c r="G4" s="7">
        <v>7.9000000000000001E-2</v>
      </c>
      <c r="H4" s="7">
        <v>2.3E-2</v>
      </c>
      <c r="I4" s="4" t="s">
        <v>143</v>
      </c>
      <c r="J4" s="4" t="s">
        <v>148</v>
      </c>
      <c r="K4" s="3" t="s">
        <v>149</v>
      </c>
    </row>
  </sheetData>
  <pageMargins left="0.7" right="0.7" top="0.75" bottom="0.75" header="0.3" footer="0.3"/>
  <ignoredErrors>
    <ignoredError sqref="A1:K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baseColWidth="10" defaultRowHeight="14.5" x14ac:dyDescent="0.35"/>
  <cols>
    <col min="1" max="1" width="50.83203125" customWidth="1"/>
    <col min="2" max="2" width="25.83203125" customWidth="1"/>
    <col min="3" max="3" width="16.83203125" customWidth="1"/>
    <col min="4" max="4" width="20.83203125" customWidth="1"/>
    <col min="5" max="5" width="26.83203125" customWidth="1"/>
    <col min="6" max="6" width="12.83203125" customWidth="1"/>
    <col min="7" max="7" width="38.83203125" customWidth="1"/>
    <col min="8" max="8" width="42.83203125" customWidth="1"/>
    <col min="9" max="9" width="52.83203125" customWidth="1"/>
  </cols>
  <sheetData>
    <row r="1" spans="1:9" ht="32" customHeight="1" x14ac:dyDescent="0.35">
      <c r="A1" s="3" t="s">
        <v>150</v>
      </c>
      <c r="B1" s="3" t="s">
        <v>151</v>
      </c>
      <c r="C1" s="3" t="s">
        <v>136</v>
      </c>
      <c r="D1" s="3" t="s">
        <v>152</v>
      </c>
      <c r="E1" s="3" t="s">
        <v>153</v>
      </c>
      <c r="F1" s="3" t="s">
        <v>117</v>
      </c>
      <c r="G1" s="3" t="s">
        <v>154</v>
      </c>
      <c r="H1" s="3" t="s">
        <v>155</v>
      </c>
      <c r="I1" s="3" t="s">
        <v>156</v>
      </c>
    </row>
    <row r="2" spans="1:9" ht="48" customHeight="1" x14ac:dyDescent="0.35">
      <c r="A2" s="3" t="s">
        <v>157</v>
      </c>
      <c r="B2" s="3" t="s">
        <v>158</v>
      </c>
      <c r="C2" s="3" t="s">
        <v>159</v>
      </c>
      <c r="D2" s="3" t="s">
        <v>160</v>
      </c>
      <c r="E2" s="3" t="s">
        <v>29</v>
      </c>
      <c r="F2" s="3" t="s">
        <v>121</v>
      </c>
      <c r="G2" s="3" t="s">
        <v>161</v>
      </c>
      <c r="H2" s="3" t="s">
        <v>162</v>
      </c>
      <c r="I2" s="3" t="s">
        <v>163</v>
      </c>
    </row>
  </sheetData>
  <autoFilter ref="A1:I2" xr:uid="{00000000-0009-0000-0000-000004000000}"/>
  <pageMargins left="0.7" right="0.7" top="0.75" bottom="0.75" header="0.3" footer="0.3"/>
  <ignoredErrors>
    <ignoredError sqref="A1: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workbookViewId="0"/>
  </sheetViews>
  <sheetFormatPr baseColWidth="10" defaultRowHeight="14.5" x14ac:dyDescent="0.35"/>
  <cols>
    <col min="1" max="1" width="34" customWidth="1"/>
    <col min="2" max="2" width="72" customWidth="1"/>
    <col min="3" max="5" width="18" customWidth="1"/>
    <col min="6" max="6" width="8" customWidth="1"/>
  </cols>
  <sheetData>
    <row r="1" spans="1:6" ht="34" customHeight="1" x14ac:dyDescent="0.35">
      <c r="A1" s="2" t="s">
        <v>164</v>
      </c>
      <c r="B1" s="2"/>
      <c r="C1" s="2"/>
      <c r="D1" s="2"/>
      <c r="E1" s="2"/>
      <c r="F1" s="2"/>
    </row>
    <row r="2" spans="1:6" ht="15.5" x14ac:dyDescent="0.35"/>
    <row r="3" spans="1:6" ht="15.5" x14ac:dyDescent="0.35">
      <c r="A3" t="s">
        <v>165</v>
      </c>
      <c r="B3" t="s">
        <v>144</v>
      </c>
    </row>
    <row r="4" spans="1:6" ht="15.5" x14ac:dyDescent="0.35">
      <c r="A4" t="s">
        <v>166</v>
      </c>
      <c r="B4" t="s">
        <v>167</v>
      </c>
    </row>
    <row r="5" spans="1:6" ht="15.5" x14ac:dyDescent="0.35">
      <c r="A5" t="s">
        <v>168</v>
      </c>
      <c r="B5">
        <v>364</v>
      </c>
    </row>
    <row r="6" spans="1:6" ht="15.5" x14ac:dyDescent="0.35">
      <c r="A6" t="s">
        <v>169</v>
      </c>
      <c r="B6">
        <v>355</v>
      </c>
    </row>
    <row r="7" spans="1:6" ht="15.5" x14ac:dyDescent="0.35">
      <c r="A7" t="s">
        <v>170</v>
      </c>
      <c r="B7">
        <v>9</v>
      </c>
    </row>
    <row r="8" spans="1:6" ht="15.5" x14ac:dyDescent="0.35">
      <c r="A8" t="s">
        <v>171</v>
      </c>
      <c r="B8">
        <v>443</v>
      </c>
    </row>
    <row r="9" spans="1:6" ht="15.5" x14ac:dyDescent="0.35">
      <c r="A9" t="s">
        <v>172</v>
      </c>
      <c r="B9" t="s">
        <v>173</v>
      </c>
    </row>
    <row r="10" spans="1:6" ht="15.5" x14ac:dyDescent="0.35">
      <c r="A10" t="s">
        <v>174</v>
      </c>
      <c r="B10" t="s">
        <v>175</v>
      </c>
    </row>
    <row r="11" spans="1:6" ht="15.5" x14ac:dyDescent="0.35"/>
    <row r="12" spans="1:6" ht="15.5" x14ac:dyDescent="0.35">
      <c r="A12" t="s">
        <v>176</v>
      </c>
      <c r="B12" t="s">
        <v>177</v>
      </c>
      <c r="C12" t="s">
        <v>178</v>
      </c>
      <c r="D12" t="s">
        <v>179</v>
      </c>
      <c r="E12" t="s">
        <v>180</v>
      </c>
    </row>
    <row r="13" spans="1:6" ht="15.5" x14ac:dyDescent="0.35">
      <c r="A13" t="s">
        <v>29</v>
      </c>
      <c r="B13" s="1">
        <v>263</v>
      </c>
      <c r="C13" s="1">
        <v>7</v>
      </c>
      <c r="D13" s="1">
        <v>8</v>
      </c>
      <c r="E13" s="1">
        <f>C13*D13</f>
        <v>56</v>
      </c>
    </row>
    <row r="14" spans="1:6" ht="15.5" x14ac:dyDescent="0.35">
      <c r="A14" t="s">
        <v>124</v>
      </c>
      <c r="B14" s="1">
        <v>101</v>
      </c>
      <c r="C14" s="1">
        <v>9</v>
      </c>
      <c r="D14" s="1">
        <v>8</v>
      </c>
      <c r="E14" s="1">
        <f>C14*D14</f>
        <v>72</v>
      </c>
    </row>
    <row r="15" spans="1:6" ht="15.5" x14ac:dyDescent="0.35">
      <c r="A15" t="s">
        <v>181</v>
      </c>
      <c r="B15" s="1">
        <v>364</v>
      </c>
      <c r="C15" s="1">
        <v>16</v>
      </c>
      <c r="E15" s="1">
        <f>SUM(E13:E14)</f>
        <v>128</v>
      </c>
    </row>
    <row r="16" spans="1:6" ht="15.5" x14ac:dyDescent="0.35"/>
    <row r="17" spans="1:6" ht="72" customHeight="1" x14ac:dyDescent="0.35">
      <c r="A17" s="8" t="s">
        <v>182</v>
      </c>
      <c r="B17" s="8"/>
      <c r="C17" s="8"/>
      <c r="D17" s="8"/>
      <c r="E17" s="8"/>
      <c r="F17" s="8"/>
    </row>
    <row r="18" spans="1:6" ht="15.5" x14ac:dyDescent="0.35"/>
    <row r="19" spans="1:6" ht="15.5" x14ac:dyDescent="0.35">
      <c r="A19" t="s">
        <v>183</v>
      </c>
      <c r="B19" t="s">
        <v>184</v>
      </c>
      <c r="C19" t="s">
        <v>124</v>
      </c>
      <c r="D19" t="s">
        <v>185</v>
      </c>
      <c r="E19" t="s">
        <v>181</v>
      </c>
    </row>
    <row r="20" spans="1:6" ht="15.5" x14ac:dyDescent="0.35">
      <c r="A20" t="s">
        <v>186</v>
      </c>
      <c r="B20" s="1">
        <v>149</v>
      </c>
      <c r="C20" s="1">
        <v>36</v>
      </c>
      <c r="D20" s="1">
        <v>82</v>
      </c>
      <c r="E20" s="1">
        <v>267</v>
      </c>
    </row>
    <row r="21" spans="1:6" ht="15.5" x14ac:dyDescent="0.35">
      <c r="A21" t="s">
        <v>187</v>
      </c>
      <c r="B21" s="1">
        <v>56</v>
      </c>
      <c r="C21" s="1">
        <v>72</v>
      </c>
      <c r="D21" s="1">
        <v>0</v>
      </c>
      <c r="E21" s="1">
        <v>128</v>
      </c>
    </row>
    <row r="22" spans="1:6" ht="15.5" x14ac:dyDescent="0.35">
      <c r="A22" t="s">
        <v>188</v>
      </c>
      <c r="B22" s="1">
        <v>130</v>
      </c>
      <c r="C22" s="1">
        <v>130</v>
      </c>
      <c r="D22" s="1">
        <v>0</v>
      </c>
      <c r="E22" s="1">
        <v>260</v>
      </c>
    </row>
    <row r="23" spans="1:6" ht="15.5" x14ac:dyDescent="0.35">
      <c r="A23" t="s">
        <v>189</v>
      </c>
      <c r="B23" s="1">
        <v>72</v>
      </c>
      <c r="C23" s="1">
        <v>104</v>
      </c>
      <c r="D23" s="1">
        <v>0</v>
      </c>
      <c r="E23" s="1">
        <v>176</v>
      </c>
    </row>
    <row r="24" spans="1:6" ht="15.5" x14ac:dyDescent="0.35">
      <c r="A24" t="s">
        <v>190</v>
      </c>
      <c r="B24" s="1">
        <f>SUM(B20:B23)</f>
        <v>407</v>
      </c>
      <c r="C24" s="1">
        <f>SUM(C20:C23)</f>
        <v>342</v>
      </c>
      <c r="D24" s="1">
        <f>SUM(D20:D23)</f>
        <v>82</v>
      </c>
      <c r="E24" s="1">
        <f>SUM(E20:E23)</f>
        <v>831</v>
      </c>
    </row>
    <row r="27" spans="1:6" ht="34" customHeight="1" x14ac:dyDescent="0.35">
      <c r="A27" s="2" t="s">
        <v>191</v>
      </c>
      <c r="B27" s="2"/>
      <c r="C27" s="2"/>
      <c r="D27" s="2"/>
      <c r="E27" s="2"/>
      <c r="F27" s="2"/>
    </row>
    <row r="29" spans="1:6" ht="15.5" x14ac:dyDescent="0.35">
      <c r="A29" t="s">
        <v>165</v>
      </c>
      <c r="B29" t="s">
        <v>148</v>
      </c>
    </row>
    <row r="30" spans="1:6" ht="15.5" x14ac:dyDescent="0.35">
      <c r="A30" t="s">
        <v>166</v>
      </c>
      <c r="B30" t="s">
        <v>192</v>
      </c>
    </row>
    <row r="31" spans="1:6" ht="15.5" x14ac:dyDescent="0.35">
      <c r="A31" t="s">
        <v>168</v>
      </c>
      <c r="B31">
        <v>108</v>
      </c>
    </row>
    <row r="32" spans="1:6" ht="15.5" x14ac:dyDescent="0.35">
      <c r="A32" t="s">
        <v>169</v>
      </c>
      <c r="B32">
        <v>94</v>
      </c>
    </row>
    <row r="33" spans="1:6" ht="15.5" x14ac:dyDescent="0.35">
      <c r="A33" t="s">
        <v>170</v>
      </c>
      <c r="B33">
        <v>14</v>
      </c>
    </row>
    <row r="34" spans="1:6" ht="15.5" x14ac:dyDescent="0.35">
      <c r="A34" t="s">
        <v>171</v>
      </c>
      <c r="B34">
        <v>367</v>
      </c>
    </row>
    <row r="35" spans="1:6" ht="15.5" x14ac:dyDescent="0.35">
      <c r="A35" t="s">
        <v>172</v>
      </c>
      <c r="B35" t="s">
        <v>193</v>
      </c>
    </row>
    <row r="36" spans="1:6" ht="15.5" x14ac:dyDescent="0.35">
      <c r="A36" t="s">
        <v>174</v>
      </c>
      <c r="B36" t="s">
        <v>194</v>
      </c>
    </row>
    <row r="38" spans="1:6" ht="15.5" x14ac:dyDescent="0.35">
      <c r="A38" t="s">
        <v>176</v>
      </c>
      <c r="B38" t="s">
        <v>177</v>
      </c>
      <c r="C38" t="s">
        <v>178</v>
      </c>
      <c r="D38" t="s">
        <v>179</v>
      </c>
      <c r="E38" t="s">
        <v>180</v>
      </c>
    </row>
    <row r="39" spans="1:6" ht="15.5" x14ac:dyDescent="0.35">
      <c r="A39" t="s">
        <v>29</v>
      </c>
      <c r="B39" s="1">
        <v>24</v>
      </c>
      <c r="C39" s="1">
        <v>9</v>
      </c>
      <c r="D39" s="1">
        <v>8</v>
      </c>
      <c r="E39" s="1">
        <f>C39*D39</f>
        <v>72</v>
      </c>
    </row>
    <row r="40" spans="1:6" ht="15.5" x14ac:dyDescent="0.35">
      <c r="A40" t="s">
        <v>124</v>
      </c>
      <c r="B40" s="1">
        <v>84</v>
      </c>
      <c r="C40" s="1">
        <v>13</v>
      </c>
      <c r="D40" s="1">
        <v>8</v>
      </c>
      <c r="E40" s="1">
        <f>C40*D40</f>
        <v>104</v>
      </c>
    </row>
    <row r="41" spans="1:6" ht="15.5" x14ac:dyDescent="0.35">
      <c r="A41" t="s">
        <v>181</v>
      </c>
      <c r="B41" s="1">
        <v>108</v>
      </c>
      <c r="C41" s="1">
        <v>22</v>
      </c>
      <c r="D41" s="1" t="s">
        <v>30</v>
      </c>
      <c r="E41" s="1">
        <f>SUM(E39:E40)</f>
        <v>176</v>
      </c>
    </row>
    <row r="42" spans="1:6" ht="15.5" x14ac:dyDescent="0.35"/>
    <row r="43" spans="1:6" ht="72" customHeight="1" x14ac:dyDescent="0.35">
      <c r="A43" s="8" t="s">
        <v>195</v>
      </c>
      <c r="B43" s="8"/>
      <c r="C43" s="8"/>
      <c r="D43" s="8"/>
      <c r="E43" s="8"/>
      <c r="F43" s="8"/>
    </row>
    <row r="44" spans="1:6" ht="15.5" x14ac:dyDescent="0.35"/>
  </sheetData>
  <mergeCells count="4">
    <mergeCell ref="A1:F1"/>
    <mergeCell ref="A17:F17"/>
    <mergeCell ref="A27:F27"/>
    <mergeCell ref="A43:F43"/>
  </mergeCells>
  <hyperlinks>
    <hyperlink ref="B30" r:id="rId1" xr:uid="{00000000-0004-0000-0500-000000000000}"/>
  </hyperlinks>
  <pageMargins left="0.7" right="0.7" top="0.75" bottom="0.75" header="0.3" footer="0.3"/>
  <ignoredErrors>
    <ignoredError sqref="A1:F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Cronograma</vt:lpstr>
      <vt:lpstr>Resumen</vt:lpstr>
      <vt:lpstr>Equipo</vt:lpstr>
      <vt:lpstr>Histórico avance</vt:lpstr>
      <vt:lpstr>Auditoría</vt:lpstr>
      <vt:lpstr>Evidencia horas</vt:lpstr>
      <vt:lpstr>Auditoría!_FilterDatabase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Mayorga</cp:lastModifiedBy>
  <dcterms:modified xsi:type="dcterms:W3CDTF">2026-08-27T14:24:56Z</dcterms:modified>
</cp:coreProperties>
</file>